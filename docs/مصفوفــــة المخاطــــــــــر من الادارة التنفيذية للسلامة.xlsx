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embeddings/oleObject1.bin" ContentType="application/vnd.openxmlformats-officedocument.oleObject"/>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6"/>
  <workbookPr filterPrivacy="1"/>
  <xr:revisionPtr revIDLastSave="0" documentId="13_ncr:1_{C61C7469-D214-4CC8-A98A-0F6F18083981}" xr6:coauthVersionLast="36" xr6:coauthVersionMax="36" xr10:uidLastSave="{00000000-0000-0000-0000-000000000000}"/>
  <bookViews>
    <workbookView xWindow="0" yWindow="0" windowWidth="22260" windowHeight="12645" activeTab="2" xr2:uid="{00000000-000D-0000-FFFF-FFFF00000000}"/>
  </bookViews>
  <sheets>
    <sheet name="MOD Matrix" sheetId="1" r:id="rId1"/>
    <sheet name="JAC Matrix" sheetId="4" r:id="rId2"/>
    <sheet name="SEVERE WEATHER" sheetId="5" r:id="rId3"/>
    <sheet name="نموذج تقييم درجــات الخطورة" sheetId="3" r:id="rId4"/>
    <sheet name="الجداول" sheetId="2" state="hidden" r:id="rId5"/>
  </sheets>
  <definedNames>
    <definedName name="_Hlk117772119" localSheetId="2">'SEVERE WEATHER'!$A$4</definedName>
    <definedName name="fivecategree">الجداول!$C$11:$D$15</definedName>
    <definedName name="_xlnm.Print_Area" localSheetId="0">'MOD Matrix'!$B$2:$L$17</definedName>
    <definedName name="_xlnm.Print_Area" localSheetId="2">'SEVERE WEATHER'!$A$1:$I$38</definedName>
    <definedName name="_xlnm.Print_Area" localSheetId="3">'نموذج تقييم درجــات الخطورة'!$B$2:$I$13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 i="3" l="1"/>
  <c r="L11" i="2" s="1"/>
  <c r="G5" i="3"/>
  <c r="L12" i="2" s="1"/>
  <c r="G6" i="3"/>
  <c r="L13" i="2" s="1"/>
  <c r="G7" i="3"/>
  <c r="L14" i="2" s="1"/>
  <c r="G8" i="3"/>
  <c r="L15" i="2" s="1"/>
  <c r="G9" i="3"/>
  <c r="L16" i="2" s="1"/>
  <c r="G10" i="3"/>
  <c r="L17" i="2" s="1"/>
  <c r="G11" i="3"/>
  <c r="L18" i="2" s="1"/>
  <c r="H11" i="3" s="1"/>
  <c r="G12" i="3"/>
  <c r="L19" i="2" s="1"/>
  <c r="H12" i="3" s="1"/>
  <c r="G13" i="3"/>
  <c r="L20" i="2" s="1"/>
  <c r="H13" i="3" s="1"/>
  <c r="I12" i="2" l="1"/>
  <c r="I13" i="2"/>
  <c r="I14" i="2"/>
  <c r="I15" i="2"/>
  <c r="I11" i="2"/>
  <c r="G14" i="1" l="1"/>
  <c r="J14" i="2" l="1"/>
  <c r="J13" i="2"/>
  <c r="J12" i="2"/>
  <c r="J11" i="2"/>
  <c r="J15" i="2"/>
  <c r="K11" i="2" l="1"/>
  <c r="K15" i="2"/>
  <c r="K12" i="2"/>
  <c r="K13" i="2"/>
  <c r="K14" i="2"/>
  <c r="V4" i="1" l="1"/>
</calcChain>
</file>

<file path=xl/sharedStrings.xml><?xml version="1.0" encoding="utf-8"?>
<sst xmlns="http://schemas.openxmlformats.org/spreadsheetml/2006/main" count="172" uniqueCount="141">
  <si>
    <t xml:space="preserve">الدرجة </t>
  </si>
  <si>
    <t>الناتج</t>
  </si>
  <si>
    <t>الدرجة</t>
  </si>
  <si>
    <t>مدى خطورة الحادث</t>
  </si>
  <si>
    <t xml:space="preserve"> إحتمالية الحــــــدوث</t>
  </si>
  <si>
    <t>1
طفيف</t>
  </si>
  <si>
    <t>2
بسيط</t>
  </si>
  <si>
    <t>3
متوسط</t>
  </si>
  <si>
    <t>1
نادر الحدوث</t>
  </si>
  <si>
    <t>2
ممكن الحدوث</t>
  </si>
  <si>
    <t>3
محتمل الحدوث</t>
  </si>
  <si>
    <t>4
كثير الحدوث</t>
  </si>
  <si>
    <t>5
متكرر الحدوث</t>
  </si>
  <si>
    <t>مصفوفــــة المخاطــــــــــر</t>
  </si>
  <si>
    <t>إحتمالية وقوع الحادث</t>
  </si>
  <si>
    <r>
      <t>مقياس قيمة الخطر</t>
    </r>
    <r>
      <rPr>
        <b/>
        <sz val="14"/>
        <color theme="1"/>
        <rFont val="Calibri"/>
        <family val="2"/>
        <scheme val="minor"/>
      </rPr>
      <t xml:space="preserve"> (الخطورة X الإحتمالية)</t>
    </r>
  </si>
  <si>
    <t>IFERROR(INDEX(alltable;$BH5;COLUMNS($C$31:C31));"")</t>
  </si>
  <si>
    <t>ت</t>
  </si>
  <si>
    <t>الملاحظات</t>
  </si>
  <si>
    <t>جدول الملاحظات</t>
  </si>
  <si>
    <t>ROWS($BB$5:BB5)</t>
  </si>
  <si>
    <t>IF(selectyearcalendar=BF5;IF(selectmonth=BB5;BC5;" ");" ")</t>
  </si>
  <si>
    <t>IFERROR(SMALL($BD$5:$BD$204;ROWS($BD$5:BD5));" ")</t>
  </si>
  <si>
    <t>IF(selectyearcalendar=BF5;IF(AND(TODAY()&gt;=AA31;TODAY()&lt;=AD31);BC5;"");"")</t>
  </si>
  <si>
    <t>4
عالي</t>
  </si>
  <si>
    <t>5
عالي جداً</t>
  </si>
  <si>
    <t>الخطر</t>
  </si>
  <si>
    <t>الإحتمالية</t>
  </si>
  <si>
    <t>التأثير</t>
  </si>
  <si>
    <t>قيمة الخطر</t>
  </si>
  <si>
    <t xml:space="preserve">شرح معايير قيمة الخطر </t>
  </si>
  <si>
    <t>إستراتيجية معالجة الخطر</t>
  </si>
  <si>
    <t>كهربائي</t>
  </si>
  <si>
    <t>مخاطر ذات تأثير طفيف
لا تتطلب وضع خطط محددة لها</t>
  </si>
  <si>
    <t>مخاطر ذات تأثير بسيط
لا تتطلب وضع خطط محددة لها</t>
  </si>
  <si>
    <t>مخاطر ذات تأثير متوسط
 أخذها بعين الاعتبار عند وضع الخطط العامة</t>
  </si>
  <si>
    <t>مخاطر ذات تأثير عالي
تحتاج إلى دراسة ووضع خط للمعالجة</t>
  </si>
  <si>
    <t>مخاطر ذات تأثير عالي جداً 
يتوجب وضع الإجراءات والخطط لمواجهتها</t>
  </si>
  <si>
    <t>وصف الخطر/ الضرر</t>
  </si>
  <si>
    <t>الإضاءة المكتبية</t>
  </si>
  <si>
    <t>الإصابة بالأمراض المهنية المتعلقة بالأعمال المكتبية</t>
  </si>
  <si>
    <t>الحريق</t>
  </si>
  <si>
    <t xml:space="preserve"> فيروس كورونا</t>
  </si>
  <si>
    <t>اعمال الصيانة</t>
  </si>
  <si>
    <t>النظافة</t>
  </si>
  <si>
    <r>
      <t>نموذج تقييم درجــــــــــات الخطورة</t>
    </r>
    <r>
      <rPr>
        <b/>
        <sz val="16"/>
        <color theme="1"/>
        <rFont val="Calibri"/>
        <family val="2"/>
        <scheme val="minor"/>
      </rPr>
      <t xml:space="preserve"> 
(مباني)</t>
    </r>
  </si>
  <si>
    <t>مصفوفة المخاطر</t>
  </si>
  <si>
    <t>RISK ASSESSMENT MATRIX</t>
  </si>
  <si>
    <t>متكرر الحدوث</t>
  </si>
  <si>
    <t>Frequent:</t>
  </si>
  <si>
    <t>Continuous, regular, or inevitable occurrences</t>
  </si>
  <si>
    <t>كثير الحدوث</t>
  </si>
  <si>
    <t>Likely:</t>
  </si>
  <si>
    <t>Several or numerous occurrences</t>
  </si>
  <si>
    <t>محتمل الحدوث</t>
  </si>
  <si>
    <t>Occasional:</t>
  </si>
  <si>
    <t>Sporadic or intermittent occurrences</t>
  </si>
  <si>
    <t>ممكن الحدوث</t>
  </si>
  <si>
    <t>Seldom:</t>
  </si>
  <si>
    <t>Infrequent occurrences</t>
  </si>
  <si>
    <t>نادر الحدوث</t>
  </si>
  <si>
    <t>Unlikely:</t>
  </si>
  <si>
    <t>Possible occurrences but improbable</t>
  </si>
  <si>
    <t xml:space="preserve">X  </t>
  </si>
  <si>
    <t>طفيف</t>
  </si>
  <si>
    <t>Negligible:</t>
  </si>
  <si>
    <t>بسيط</t>
  </si>
  <si>
    <t>Minor:</t>
  </si>
  <si>
    <t>متوسط</t>
  </si>
  <si>
    <t>Major:</t>
  </si>
  <si>
    <t>عالي</t>
  </si>
  <si>
    <t>Hazardous:</t>
  </si>
  <si>
    <t>عالي جداً</t>
  </si>
  <si>
    <t>Catastrophic:</t>
  </si>
  <si>
    <r>
      <t>Severity</t>
    </r>
    <r>
      <rPr>
        <b/>
        <sz val="16"/>
        <color theme="1"/>
        <rFont val="Arial"/>
        <family val="2"/>
      </rPr>
      <t xml:space="preserve"> </t>
    </r>
    <r>
      <rPr>
        <sz val="16"/>
        <color theme="1"/>
        <rFont val="Calibri"/>
        <family val="2"/>
        <scheme val="minor"/>
      </rPr>
      <t>(expected consequence)</t>
    </r>
  </si>
  <si>
    <t>SEVERE WEATHER RISK ASSESSMENT MATRIX</t>
  </si>
  <si>
    <t>(Widespread)</t>
  </si>
  <si>
    <t>(Numerous)</t>
  </si>
  <si>
    <t>(Scattered)</t>
  </si>
  <si>
    <t>(Isolated)</t>
  </si>
  <si>
    <t>(None Expected)</t>
  </si>
  <si>
    <t>Severity</t>
  </si>
  <si>
    <t>(expected consequence)</t>
  </si>
  <si>
    <t>متكرر</t>
  </si>
  <si>
    <t>واسع الإنتشار</t>
  </si>
  <si>
    <t>حدوث مستمر، منتظم، او لا مفر منه</t>
  </si>
  <si>
    <t>محتمل</t>
  </si>
  <si>
    <t>حدوث عدة مرات او بشكل متكرر</t>
  </si>
  <si>
    <t>عرضي</t>
  </si>
  <si>
    <t>متناثر</t>
  </si>
  <si>
    <t>حدوث متقطع او متفرق</t>
  </si>
  <si>
    <t>نادر</t>
  </si>
  <si>
    <t>معزول</t>
  </si>
  <si>
    <t>حدوث غير متكرر</t>
  </si>
  <si>
    <t>غير محتمل</t>
  </si>
  <si>
    <t>غير متوقع</t>
  </si>
  <si>
    <t>حدوث ممكن ولكنه غير محتمل</t>
  </si>
  <si>
    <t>No severe storms expected. 
لا يتوقع حدوث عواصف شديدة</t>
  </si>
  <si>
    <t>Few consequences, no impact to unit readiness, first aid injury, no loss or damage.
عواقب قليل، لا تأثير على جاهزية الوحدة
إصابات بسيطة يمكن علاجها بالإسعافات الأولية، لا خسائر او أضرار</t>
  </si>
  <si>
    <t>مصفوفة تقييم المخاطر لتقلبات الأحوال الجوية</t>
  </si>
  <si>
    <t>Lightning &amp; flooding possible with all storms, rain events</t>
  </si>
  <si>
    <t>من المحتمل حدوث صواعق وفيضانات مع جميع العواصف وحالات هطول الامطار</t>
  </si>
  <si>
    <t>من المحتمل حدوث عواصف شديدة، لكنها محدودة من حيث المدة و/أو النطاق و/أو الشدة</t>
  </si>
  <si>
    <t>Severe storms possible, limited in duration and/or coverage and/or intensity</t>
  </si>
  <si>
    <t>Storms possible, short-lived and/or wider spread, isolated intense storms possible</t>
  </si>
  <si>
    <t>من المحتمل حدوث عواصف، لكنها قصيرة الأمد و/أو واسعة الانتشار، مع إمكانية حدوث عواصف شديدة معزولة</t>
  </si>
  <si>
    <t>من المحتمل حدوث عواصف شديدة أكثر استمرارية و/أو واسعة الانتشار</t>
  </si>
  <si>
    <t>Severe storms possible more persistent and/or widespread</t>
  </si>
  <si>
    <t>Severe long-lived intense storms expected</t>
  </si>
  <si>
    <t>من المتوقع حدوث عواصف شديدة قوية وطويلة الأمد</t>
  </si>
  <si>
    <t>Little impact to unit readiness or mission capability; minimal injury, loss, or damage.
تأثير محدود على جاهزية الوحدة او قدرة المهمة، مع إصابات او خسائر او أضرار طفيفة</t>
  </si>
  <si>
    <r>
      <t xml:space="preserve">Winds: </t>
    </r>
    <r>
      <rPr>
        <sz val="16"/>
        <color theme="1"/>
        <rFont val="Calibri"/>
        <family val="2"/>
        <scheme val="minor"/>
      </rPr>
      <t xml:space="preserve">No severe storms expected but winds to 40kts can often be connected with rain events. </t>
    </r>
    <r>
      <rPr>
        <b/>
        <sz val="16"/>
        <color theme="1"/>
        <rFont val="Calibri"/>
        <family val="2"/>
        <scheme val="minor"/>
      </rPr>
      <t>Visibility</t>
    </r>
    <r>
      <rPr>
        <sz val="16"/>
        <color theme="1"/>
        <rFont val="Calibri"/>
        <family val="2"/>
        <scheme val="minor"/>
      </rPr>
      <t xml:space="preserve">: Some marginal VFR visibility could be encountered.
</t>
    </r>
    <r>
      <rPr>
        <b/>
        <sz val="16"/>
        <color theme="1"/>
        <rFont val="Calibri"/>
        <family val="2"/>
        <scheme val="minor"/>
      </rPr>
      <t>الرياح:</t>
    </r>
    <r>
      <rPr>
        <sz val="16"/>
        <color theme="1"/>
        <rFont val="Calibri"/>
        <family val="2"/>
        <scheme val="minor"/>
      </rPr>
      <t xml:space="preserve"> لا يتوقع حدوث عواصف شديدة، لكن يمكن أن تصل سرعة الرياح الى 40 عقدة، وغالباً ما تكون مرتبطة بحالات هطول الامطار
</t>
    </r>
    <r>
      <rPr>
        <b/>
        <sz val="16"/>
        <color theme="1"/>
        <rFont val="Calibri"/>
        <family val="2"/>
        <scheme val="minor"/>
      </rPr>
      <t>الرؤية:</t>
    </r>
    <r>
      <rPr>
        <sz val="16"/>
        <color theme="1"/>
        <rFont val="Calibri"/>
        <family val="2"/>
        <scheme val="minor"/>
      </rPr>
      <t xml:space="preserve"> قد يتم مواجهة مدى رؤية محدودة ضمن قواعد الطيران البصري (VFR)</t>
    </r>
  </si>
  <si>
    <r>
      <t>Hail:</t>
    </r>
    <r>
      <rPr>
        <sz val="16"/>
        <color theme="1"/>
        <rFont val="Calibri"/>
        <family val="2"/>
        <scheme val="minor"/>
      </rPr>
      <t xml:space="preserve"> Small hail up to (1 inch/2.5cm) in size.
</t>
    </r>
    <r>
      <rPr>
        <b/>
        <sz val="16"/>
        <color theme="1"/>
        <rFont val="Calibri"/>
        <family val="2"/>
        <scheme val="minor"/>
      </rPr>
      <t>البرد:</t>
    </r>
    <r>
      <rPr>
        <sz val="16"/>
        <color theme="1"/>
        <rFont val="Calibri"/>
        <family val="2"/>
        <scheme val="minor"/>
      </rPr>
      <t xml:space="preserve"> من المحتمل تساقط برد صغير يصل حجمه الى (1 بوصة/ 2.5 سم)</t>
    </r>
  </si>
  <si>
    <r>
      <t xml:space="preserve">Winds: </t>
    </r>
    <r>
      <rPr>
        <sz val="16"/>
        <color theme="1"/>
        <rFont val="Calibri"/>
        <family val="2"/>
        <scheme val="minor"/>
      </rPr>
      <t xml:space="preserve">Possible cyclonic/straight-line winds with damage, gusts or sustained speeds up to 35kts. </t>
    </r>
    <r>
      <rPr>
        <b/>
        <sz val="16"/>
        <color theme="1"/>
        <rFont val="Calibri"/>
        <family val="2"/>
        <scheme val="minor"/>
      </rPr>
      <t>Visibility</t>
    </r>
    <r>
      <rPr>
        <sz val="16"/>
        <color theme="1"/>
        <rFont val="Calibri"/>
        <family val="2"/>
        <scheme val="minor"/>
      </rPr>
      <t xml:space="preserve">: Dust storms or precipitation with visibility less than 1000 meters.
</t>
    </r>
    <r>
      <rPr>
        <b/>
        <sz val="16"/>
        <color theme="1"/>
        <rFont val="Calibri"/>
        <family val="2"/>
        <scheme val="minor"/>
      </rPr>
      <t xml:space="preserve">الرياح: </t>
    </r>
    <r>
      <rPr>
        <sz val="16"/>
        <color theme="1"/>
        <rFont val="Calibri"/>
        <family val="2"/>
        <scheme val="minor"/>
      </rPr>
      <t>احتمال حدوث رياح اعصارية او مستقيمة قد تسبب أضراراً، مع هبات او سرعات مستدامة تصل الى 35 عقدة</t>
    </r>
    <r>
      <rPr>
        <b/>
        <sz val="16"/>
        <color theme="1"/>
        <rFont val="Calibri"/>
        <family val="2"/>
        <scheme val="minor"/>
      </rPr>
      <t xml:space="preserve">
الرؤية:</t>
    </r>
    <r>
      <rPr>
        <sz val="16"/>
        <color theme="1"/>
        <rFont val="Calibri"/>
        <family val="2"/>
        <scheme val="minor"/>
      </rPr>
      <t xml:space="preserve"> عواصف ترابية او هطول أمطار تؤدي الى تدني مدى الرؤية الى أقل من 1000 متر</t>
    </r>
  </si>
  <si>
    <r>
      <t xml:space="preserve">Winds: </t>
    </r>
    <r>
      <rPr>
        <sz val="16"/>
        <color theme="1"/>
        <rFont val="Calibri"/>
        <family val="2"/>
        <scheme val="minor"/>
      </rPr>
      <t xml:space="preserve">Likely cyclonic/straight-line winds with damage, gusts or sustained speeds over 35kts but less than 50kts. </t>
    </r>
    <r>
      <rPr>
        <b/>
        <sz val="16"/>
        <color theme="1"/>
        <rFont val="Calibri"/>
        <family val="2"/>
        <scheme val="minor"/>
      </rPr>
      <t>Visibility</t>
    </r>
    <r>
      <rPr>
        <sz val="16"/>
        <color theme="1"/>
        <rFont val="Calibri"/>
        <family val="2"/>
        <scheme val="minor"/>
      </rPr>
      <t xml:space="preserve">: Dust storms or precipitation with visibility less than 800 meters.
</t>
    </r>
    <r>
      <rPr>
        <b/>
        <sz val="16"/>
        <color theme="1"/>
        <rFont val="Calibri"/>
        <family val="2"/>
        <scheme val="minor"/>
      </rPr>
      <t>الرياح:</t>
    </r>
    <r>
      <rPr>
        <sz val="16"/>
        <color theme="1"/>
        <rFont val="Calibri"/>
        <family val="2"/>
        <scheme val="minor"/>
      </rPr>
      <t xml:space="preserve"> من المحتمل حدوث رياح اعصارية او مستقيمة قد تسبب أضراراً، مع هبات او سرعات مستدامة تتجاوز 35 عقدة ولكن أقل من 50 عقدة
</t>
    </r>
    <r>
      <rPr>
        <b/>
        <sz val="16"/>
        <color theme="1"/>
        <rFont val="Calibri"/>
        <family val="2"/>
        <scheme val="minor"/>
      </rPr>
      <t>الرؤية</t>
    </r>
    <r>
      <rPr>
        <sz val="16"/>
        <color theme="1"/>
        <rFont val="Calibri"/>
        <family val="2"/>
        <scheme val="minor"/>
      </rPr>
      <t>: عواصف ترابية او هطول امطار تؤدي الى تدني مدى الرؤية الى أقل من 800 متر</t>
    </r>
  </si>
  <si>
    <r>
      <t>Hail:</t>
    </r>
    <r>
      <rPr>
        <sz val="16"/>
        <color theme="1"/>
        <rFont val="Calibri"/>
        <family val="2"/>
        <scheme val="minor"/>
      </rPr>
      <t xml:space="preserve"> Destructive possible (2+ inch/5cm) in size.
</t>
    </r>
    <r>
      <rPr>
        <b/>
        <sz val="16"/>
        <color theme="1"/>
        <rFont val="Calibri"/>
        <family val="2"/>
        <scheme val="minor"/>
      </rPr>
      <t>البرد:</t>
    </r>
    <r>
      <rPr>
        <sz val="16"/>
        <color theme="1"/>
        <rFont val="Calibri"/>
        <family val="2"/>
        <scheme val="minor"/>
      </rPr>
      <t xml:space="preserve"> من المحتمل أن يكون مدمراً، بحجم +2 بوصة/ 5 سم</t>
    </r>
  </si>
  <si>
    <t>Significantly degraded unit readiness or mission capability; severe injury, illness, loss or damage.
تدهور كبير في جاهزية الوحدة او قدرة المهمة، إصابات خطيرة، خسائر أو أضرار</t>
  </si>
  <si>
    <r>
      <t xml:space="preserve">Mission failure, unit readiness eliminated; death, unacceptable loss or damage. </t>
    </r>
    <r>
      <rPr>
        <b/>
        <sz val="16"/>
        <color theme="1"/>
        <rFont val="Calibri"/>
        <family val="2"/>
        <scheme val="minor"/>
      </rPr>
      <t>Winds:</t>
    </r>
    <r>
      <rPr>
        <sz val="16"/>
        <color theme="1"/>
        <rFont val="Calibri"/>
        <family val="2"/>
        <scheme val="minor"/>
      </rPr>
      <t xml:space="preserve"> Strong cyclonic/straight-line winds with wide spread damage, gusts or sustained speeds over 50kts. </t>
    </r>
    <r>
      <rPr>
        <b/>
        <sz val="16"/>
        <color theme="1"/>
        <rFont val="Calibri"/>
        <family val="2"/>
        <scheme val="minor"/>
      </rPr>
      <t>Visibility</t>
    </r>
    <r>
      <rPr>
        <sz val="16"/>
        <color theme="1"/>
        <rFont val="Calibri"/>
        <family val="2"/>
        <scheme val="minor"/>
      </rPr>
      <t xml:space="preserve">: Less than 400 meters.
فشل المهمة، القضاء على جاهزية الوحدة، الوفاة، خسائر او أضرار غير مقبولة
</t>
    </r>
    <r>
      <rPr>
        <b/>
        <sz val="16"/>
        <color theme="1"/>
        <rFont val="Calibri"/>
        <family val="2"/>
        <scheme val="minor"/>
      </rPr>
      <t>الرياح:</t>
    </r>
    <r>
      <rPr>
        <sz val="16"/>
        <color theme="1"/>
        <rFont val="Calibri"/>
        <family val="2"/>
        <scheme val="minor"/>
      </rPr>
      <t xml:space="preserve"> رياح اعصارية او مستقيمة قوية مع أضرار واسعة النطاق، هبات او سرعات مستدامة تتجاوز 50 عقدة
</t>
    </r>
    <r>
      <rPr>
        <b/>
        <sz val="16"/>
        <color theme="1"/>
        <rFont val="Calibri"/>
        <family val="2"/>
        <scheme val="minor"/>
      </rPr>
      <t>الرؤية:</t>
    </r>
    <r>
      <rPr>
        <sz val="16"/>
        <color theme="1"/>
        <rFont val="Calibri"/>
        <family val="2"/>
        <scheme val="minor"/>
      </rPr>
      <t xml:space="preserve"> أقل من 400 متر</t>
    </r>
  </si>
  <si>
    <t>Degraded unit readiness or mission capability; serious injury, loss or damage.
تدهور جاهزية الوحدة أو قدرة المهمة: إصابة خطيرة أو أضرار</t>
  </si>
  <si>
    <t>Major: متوسط</t>
  </si>
  <si>
    <t>Hazardous: عالي</t>
  </si>
  <si>
    <t>Catastrophic: عالي جداً</t>
  </si>
  <si>
    <t>Minor: بسيط</t>
  </si>
  <si>
    <t>Negligible: طفيف</t>
  </si>
  <si>
    <r>
      <t>Hail:</t>
    </r>
    <r>
      <rPr>
        <sz val="16"/>
        <color theme="1"/>
        <rFont val="Calibri"/>
        <family val="2"/>
        <scheme val="minor"/>
      </rPr>
      <t xml:space="preserve"> Isolated occurrences of hail (1-2 inch/2.5-5cm) in size.</t>
    </r>
    <r>
      <rPr>
        <b/>
        <sz val="16"/>
        <color theme="1"/>
        <rFont val="Calibri"/>
        <family val="2"/>
        <scheme val="minor"/>
      </rPr>
      <t xml:space="preserve">
البرد:</t>
    </r>
    <r>
      <rPr>
        <sz val="16"/>
        <color theme="1"/>
        <rFont val="Calibri"/>
        <family val="2"/>
        <scheme val="minor"/>
      </rPr>
      <t xml:space="preserve"> حالات متفرقة من تساقط البرد بحجم (2-1 بوصة/ 5-2.5 سم)</t>
    </r>
  </si>
  <si>
    <r>
      <t>Hail:</t>
    </r>
    <r>
      <rPr>
        <sz val="16"/>
        <color theme="1"/>
        <rFont val="Calibri"/>
        <family val="2"/>
        <scheme val="minor"/>
      </rPr>
      <t xml:space="preserve"> Destructive possible (1-2 inch/2.5-5cm) in size.
 </t>
    </r>
    <r>
      <rPr>
        <b/>
        <sz val="16"/>
        <color theme="1"/>
        <rFont val="Calibri"/>
        <family val="2"/>
        <scheme val="minor"/>
      </rPr>
      <t>البرد:</t>
    </r>
    <r>
      <rPr>
        <sz val="16"/>
        <color theme="1"/>
        <rFont val="Calibri"/>
        <family val="2"/>
        <scheme val="minor"/>
      </rPr>
      <t xml:space="preserve"> من المحتمل أن يكون مدمراً بحجم (2-1 بوصة/ 5-2.5 سم)</t>
    </r>
  </si>
  <si>
    <r>
      <rPr>
        <b/>
        <u/>
        <sz val="16"/>
        <color theme="1"/>
        <rFont val="Calibri"/>
        <family val="2"/>
        <scheme val="minor"/>
      </rPr>
      <t>CONTROL MEASURES:</t>
    </r>
    <r>
      <rPr>
        <b/>
        <sz val="16"/>
        <color theme="1"/>
        <rFont val="Calibri"/>
        <family val="2"/>
        <scheme val="minor"/>
      </rPr>
      <t xml:space="preserve"> </t>
    </r>
    <r>
      <rPr>
        <sz val="16"/>
        <color theme="1"/>
        <rFont val="Calibri"/>
        <family val="2"/>
        <scheme val="minor"/>
      </rPr>
      <t>Commanders shall determine, based on level of risk, what control measures will be implemented. These are covered in depth in the Unit’s Severe Weather Plan, and may include.  Tie-down in place, hangar, or evacuation.</t>
    </r>
  </si>
  <si>
    <r>
      <rPr>
        <b/>
        <u/>
        <sz val="20"/>
        <color theme="1"/>
        <rFont val="Calibri"/>
        <family val="2"/>
        <scheme val="minor"/>
      </rPr>
      <t>إجراءات التحكم:</t>
    </r>
    <r>
      <rPr>
        <b/>
        <sz val="16"/>
        <color theme="1"/>
        <rFont val="Calibri"/>
        <family val="2"/>
        <scheme val="minor"/>
      </rPr>
      <t xml:space="preserve"> يجب على القادة تحديد مستوى المخاطر وتحددي إجراءات التحكم التي سيتم تنفيذها بناءًا على ذلك. يتم تناول هذه الإجراءات بالتفصيل في خطة المخاطر لتقلبات الأحوال الجوية للوحدة، وقد تشمل ربط/ تثبيت الطائرة، او النقل الى الحظيرة، او الإخلاء من الموقع.</t>
    </r>
  </si>
  <si>
    <t>Probability  احتمالية وقوع الحادث</t>
  </si>
  <si>
    <t>مدى خطورة الحادث  Severity (expected consequence)</t>
  </si>
  <si>
    <t>الحوادث المستمرة او المنتظمة او الحتمية</t>
  </si>
  <si>
    <t>الكثير او العديد من الحوادث</t>
  </si>
  <si>
    <t>حوادث متقطعة او على فترات متقطعة</t>
  </si>
  <si>
    <t>حوادث نادرة</t>
  </si>
  <si>
    <t>حوادث ممكنة ولكن غير محتملة</t>
  </si>
  <si>
    <t>احتمالية وقوع الحادث  Probability</t>
  </si>
  <si>
    <t>Few consequences, no impact to unit readiness, first aid injury, no loss or damage
عواقب طفيفة، لا تأثير على جاهزية الوحدة، إصابات بسيطة تتطلب إسعافات أولية، بدون خسائر أو أضرار</t>
  </si>
  <si>
    <t>Little impact to unit readiness or mission capability; minimal injury, loss, or damage
تأثير طفيف على جاهزية الوحدة او قدرة المهمة، إصابات طفيفية، خسائر او أَضرار محدودة</t>
  </si>
  <si>
    <t>Degraded unit readiness or mission capability; serious injury, loss or damage
تدهور جاهزية الوحدة او قدرة المهمة، إصابة  او مرض خطير، خسائر او أضرار</t>
  </si>
  <si>
    <t>Significantly degraded unit readiness or mission capability; severe injury, illness, loss or damage
تدهور كبير في جاهزية الوحدة او قدرة المهمة، إصابة او مرض خطير، خسائر او أضرار</t>
  </si>
  <si>
    <t>Mission failure, unit readiness eliminated; death, unacceptable loss or damage
فشل المهمة، القضاء على الجاهزية، وفاة، خسائر او أضرار غير مقبولة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</si>
</sst>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24"/>
      <color theme="1"/>
      <name val="Calibri"/>
      <family val="2"/>
      <scheme val="minor"/>
    </font>
    <font>
      <sz val="12"/>
      <color theme="1"/>
      <name val="Calibri"/>
      <family val="2"/>
      <scheme val="minor"/>
    </font>
    <font>
      <b/>
      <sz val="14"/>
      <color theme="1"/>
      <name val="Calibri"/>
      <family val="2"/>
      <scheme val="minor"/>
    </font>
    <font>
      <b/>
      <sz val="18"/>
      <color theme="1"/>
      <name val="Calibri"/>
      <family val="2"/>
      <scheme val="minor"/>
    </font>
    <font>
      <b/>
      <sz val="26"/>
      <color theme="1"/>
      <name val="Calibri"/>
      <family val="2"/>
      <scheme val="minor"/>
    </font>
    <font>
      <b/>
      <sz val="22"/>
      <color theme="1"/>
      <name val="Calibri"/>
      <family val="2"/>
      <scheme val="minor"/>
    </font>
    <font>
      <sz val="20"/>
      <color theme="1"/>
      <name val="Calibri"/>
      <family val="2"/>
      <scheme val="minor"/>
    </font>
    <font>
      <sz val="11"/>
      <color theme="0"/>
      <name val="Calibri"/>
      <family val="2"/>
      <scheme val="minor"/>
    </font>
    <font>
      <sz val="11"/>
      <color rgb="FFFF0000"/>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u/>
      <sz val="14"/>
      <color theme="1"/>
      <name val="Arial"/>
      <family val="2"/>
    </font>
    <font>
      <b/>
      <sz val="16"/>
      <color theme="1"/>
      <name val="Arial"/>
      <family val="2"/>
    </font>
    <font>
      <b/>
      <sz val="18"/>
      <color theme="1"/>
      <name val="Arial"/>
      <family val="2"/>
    </font>
    <font>
      <b/>
      <u/>
      <sz val="16"/>
      <color theme="1"/>
      <name val="Arial"/>
      <family val="2"/>
    </font>
    <font>
      <sz val="18"/>
      <color theme="1"/>
      <name val="Calibri"/>
      <family val="2"/>
      <scheme val="minor"/>
    </font>
    <font>
      <b/>
      <u/>
      <sz val="20"/>
      <color theme="1"/>
      <name val="Calibri"/>
      <family val="2"/>
      <scheme val="minor"/>
    </font>
    <font>
      <b/>
      <u/>
      <sz val="16"/>
      <color theme="1"/>
      <name val="Calibri"/>
      <family val="2"/>
      <scheme val="minor"/>
    </font>
  </fonts>
  <fills count="23">
    <fill>
      <patternFill patternType="none"/>
    </fill>
    <fill>
      <patternFill patternType="gray125"/>
    </fill>
    <fill>
      <patternFill patternType="solid">
        <fgColor rgb="FF00B0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FFAA"/>
        <bgColor indexed="64"/>
      </patternFill>
    </fill>
    <fill>
      <patternFill patternType="solid">
        <fgColor theme="5" tint="0.59999389629810485"/>
        <bgColor indexed="64"/>
      </patternFill>
    </fill>
    <fill>
      <patternFill patternType="solid">
        <fgColor rgb="FFFF5A5A"/>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0000"/>
        <bgColor indexed="64"/>
      </patternFill>
    </fill>
    <fill>
      <patternFill patternType="solid">
        <fgColor theme="0" tint="-0.249977111117893"/>
        <bgColor indexed="64"/>
      </patternFill>
    </fill>
    <fill>
      <patternFill patternType="solid">
        <fgColor rgb="FFF2F2F2"/>
        <bgColor indexed="64"/>
      </patternFill>
    </fill>
    <fill>
      <patternFill patternType="solid">
        <fgColor rgb="FFD9D9D9"/>
        <bgColor indexed="64"/>
      </patternFill>
    </fill>
    <fill>
      <patternFill patternType="solid">
        <fgColor rgb="FFE2EFD9"/>
        <bgColor indexed="64"/>
      </patternFill>
    </fill>
    <fill>
      <patternFill patternType="solid">
        <fgColor rgb="FFFFFF00"/>
        <bgColor indexed="64"/>
      </patternFill>
    </fill>
    <fill>
      <patternFill patternType="solid">
        <fgColor rgb="FFF6C986"/>
        <bgColor indexed="64"/>
      </patternFill>
    </fill>
    <fill>
      <patternFill patternType="solid">
        <fgColor rgb="FFA8D08D"/>
        <bgColor indexed="64"/>
      </patternFill>
    </fill>
    <fill>
      <patternFill patternType="solid">
        <fgColor rgb="FFFFC00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medium">
        <color indexed="64"/>
      </bottom>
      <diagonal/>
    </border>
    <border>
      <left/>
      <right style="double">
        <color indexed="64"/>
      </right>
      <top/>
      <bottom style="medium">
        <color indexed="64"/>
      </bottom>
      <diagonal/>
    </border>
    <border>
      <left style="double">
        <color indexed="64"/>
      </left>
      <right style="medium">
        <color indexed="64"/>
      </right>
      <top/>
      <bottom style="medium">
        <color indexed="64"/>
      </bottom>
      <diagonal/>
    </border>
    <border>
      <left style="double">
        <color indexed="64"/>
      </left>
      <right style="medium">
        <color indexed="64"/>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right style="double">
        <color indexed="64"/>
      </right>
      <top/>
      <bottom style="double">
        <color indexed="64"/>
      </bottom>
      <diagonal/>
    </border>
    <border>
      <left style="medium">
        <color indexed="64"/>
      </left>
      <right style="double">
        <color indexed="64"/>
      </right>
      <top style="medium">
        <color indexed="64"/>
      </top>
      <bottom/>
      <diagonal/>
    </border>
    <border>
      <left style="medium">
        <color indexed="64"/>
      </left>
      <right style="double">
        <color indexed="64"/>
      </right>
      <top/>
      <bottom/>
      <diagonal/>
    </border>
    <border>
      <left style="medium">
        <color indexed="64"/>
      </left>
      <right style="double">
        <color indexed="64"/>
      </right>
      <top/>
      <bottom style="medium">
        <color indexed="64"/>
      </bottom>
      <diagonal/>
    </border>
    <border>
      <left style="double">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medium">
        <color indexed="64"/>
      </left>
      <right/>
      <top/>
      <bottom style="double">
        <color indexed="64"/>
      </bottom>
      <diagonal/>
    </border>
    <border>
      <left style="double">
        <color indexed="64"/>
      </left>
      <right style="medium">
        <color indexed="64"/>
      </right>
      <top style="medium">
        <color indexed="64"/>
      </top>
      <bottom/>
      <diagonal/>
    </border>
    <border>
      <left style="double">
        <color indexed="64"/>
      </left>
      <right/>
      <top style="double">
        <color indexed="64"/>
      </top>
      <bottom style="medium">
        <color indexed="64"/>
      </bottom>
      <diagonal/>
    </border>
    <border>
      <left/>
      <right/>
      <top style="double">
        <color indexed="64"/>
      </top>
      <bottom style="medium">
        <color indexed="64"/>
      </bottom>
      <diagonal/>
    </border>
    <border>
      <left/>
      <right style="double">
        <color indexed="64"/>
      </right>
      <top style="double">
        <color indexed="64"/>
      </top>
      <bottom style="medium">
        <color indexed="64"/>
      </bottom>
      <diagonal/>
    </border>
    <border>
      <left style="double">
        <color indexed="64"/>
      </left>
      <right/>
      <top style="medium">
        <color indexed="64"/>
      </top>
      <bottom style="double">
        <color indexed="64"/>
      </bottom>
      <diagonal/>
    </border>
    <border>
      <left/>
      <right/>
      <top style="medium">
        <color indexed="64"/>
      </top>
      <bottom style="double">
        <color indexed="64"/>
      </bottom>
      <diagonal/>
    </border>
    <border>
      <left/>
      <right style="double">
        <color indexed="64"/>
      </right>
      <top style="medium">
        <color indexed="64"/>
      </top>
      <bottom style="double">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diagonal/>
    </border>
    <border>
      <left style="medium">
        <color indexed="64"/>
      </left>
      <right style="dashed">
        <color indexed="64"/>
      </right>
      <top/>
      <bottom style="medium">
        <color indexed="64"/>
      </bottom>
      <diagonal/>
    </border>
    <border>
      <left style="medium">
        <color indexed="64"/>
      </left>
      <right style="medium">
        <color indexed="64"/>
      </right>
      <top/>
      <bottom style="hair">
        <color indexed="64"/>
      </bottom>
      <diagonal/>
    </border>
    <border>
      <left/>
      <right style="medium">
        <color indexed="64"/>
      </right>
      <top/>
      <bottom style="hair">
        <color indexed="64"/>
      </bottom>
      <diagonal/>
    </border>
    <border>
      <left/>
      <right style="double">
        <color indexed="64"/>
      </right>
      <top/>
      <bottom style="hair">
        <color indexed="64"/>
      </bottom>
      <diagonal/>
    </border>
    <border>
      <left style="medium">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right style="double">
        <color indexed="64"/>
      </right>
      <top style="hair">
        <color indexed="64"/>
      </top>
      <bottom style="hair">
        <color indexed="64"/>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double">
        <color indexed="64"/>
      </right>
      <top style="medium">
        <color indexed="64"/>
      </top>
      <bottom style="thick">
        <color indexed="64"/>
      </bottom>
      <diagonal/>
    </border>
  </borders>
  <cellStyleXfs count="1">
    <xf numFmtId="0" fontId="0" fillId="0" borderId="0"/>
  </cellStyleXfs>
  <cellXfs count="241">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3" fillId="0" borderId="2" xfId="0" applyFont="1" applyBorder="1" applyAlignment="1">
      <alignment horizontal="center" vertical="center"/>
    </xf>
    <xf numFmtId="0" fontId="2" fillId="0" borderId="9" xfId="0" applyFont="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9" fillId="9" borderId="3" xfId="0" applyFont="1" applyFill="1" applyBorder="1" applyAlignment="1">
      <alignment horizontal="center" vertical="center"/>
    </xf>
    <xf numFmtId="0" fontId="9" fillId="9" borderId="4" xfId="0" applyFont="1" applyFill="1" applyBorder="1" applyAlignment="1">
      <alignment horizontal="center" vertical="center"/>
    </xf>
    <xf numFmtId="0" fontId="9" fillId="8" borderId="4" xfId="0" applyFont="1" applyFill="1" applyBorder="1" applyAlignment="1">
      <alignment horizontal="center" vertical="center"/>
    </xf>
    <xf numFmtId="0" fontId="9" fillId="7" borderId="4" xfId="0" applyFont="1" applyFill="1" applyBorder="1" applyAlignment="1">
      <alignment horizontal="center" vertical="center"/>
    </xf>
    <xf numFmtId="0" fontId="9" fillId="6" borderId="17" xfId="0" applyFont="1" applyFill="1" applyBorder="1" applyAlignment="1">
      <alignment horizontal="center" vertical="center"/>
    </xf>
    <xf numFmtId="0" fontId="9" fillId="9" borderId="5" xfId="0" applyFont="1" applyFill="1" applyBorder="1" applyAlignment="1">
      <alignment horizontal="center" vertical="center"/>
    </xf>
    <xf numFmtId="0" fontId="9" fillId="8"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6" borderId="18" xfId="0" applyFont="1" applyFill="1" applyBorder="1" applyAlignment="1">
      <alignment horizontal="center" vertical="center"/>
    </xf>
    <xf numFmtId="0" fontId="9" fillId="8" borderId="5" xfId="0" applyFont="1" applyFill="1" applyBorder="1" applyAlignment="1">
      <alignment horizontal="center" vertical="center"/>
    </xf>
    <xf numFmtId="0" fontId="9" fillId="6" borderId="1" xfId="0" applyFont="1" applyFill="1" applyBorder="1" applyAlignment="1">
      <alignment horizontal="center" vertical="center"/>
    </xf>
    <xf numFmtId="0" fontId="9" fillId="5" borderId="18" xfId="0" applyFont="1" applyFill="1" applyBorder="1" applyAlignment="1">
      <alignment horizontal="center" vertical="center"/>
    </xf>
    <xf numFmtId="0" fontId="9" fillId="7" borderId="5" xfId="0" applyFont="1" applyFill="1" applyBorder="1" applyAlignment="1">
      <alignment horizontal="center" vertical="center"/>
    </xf>
    <xf numFmtId="0" fontId="9" fillId="6" borderId="6" xfId="0" applyFont="1" applyFill="1" applyBorder="1" applyAlignment="1">
      <alignment horizontal="center" vertical="center"/>
    </xf>
    <xf numFmtId="0" fontId="9" fillId="6" borderId="7"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8" xfId="0" applyFont="1" applyFill="1" applyBorder="1" applyAlignment="1">
      <alignment horizontal="center" vertical="center"/>
    </xf>
    <xf numFmtId="0" fontId="0" fillId="0" borderId="0" xfId="0" applyAlignment="1">
      <alignment vertical="top"/>
    </xf>
    <xf numFmtId="0" fontId="5" fillId="0" borderId="0" xfId="0" applyFont="1" applyBorder="1" applyAlignment="1">
      <alignment vertical="center" textRotation="128" wrapText="1"/>
    </xf>
    <xf numFmtId="0" fontId="0" fillId="0" borderId="1" xfId="0" applyBorder="1" applyAlignment="1">
      <alignment vertical="center"/>
    </xf>
    <xf numFmtId="0" fontId="3" fillId="11" borderId="1" xfId="0" applyFont="1" applyFill="1" applyBorder="1" applyAlignment="1">
      <alignment horizontal="center" vertical="center"/>
    </xf>
    <xf numFmtId="0" fontId="3" fillId="13" borderId="1" xfId="0" applyFont="1" applyFill="1" applyBorder="1" applyAlignment="1">
      <alignment horizontal="center" vertical="center"/>
    </xf>
    <xf numFmtId="0" fontId="5" fillId="0" borderId="1" xfId="0" applyFont="1" applyBorder="1" applyAlignment="1">
      <alignment horizontal="center" vertical="center"/>
    </xf>
    <xf numFmtId="0" fontId="10" fillId="0" borderId="0" xfId="0" applyFont="1" applyBorder="1" applyAlignment="1">
      <alignment vertical="center" wrapText="1"/>
    </xf>
    <xf numFmtId="0" fontId="11" fillId="14" borderId="0" xfId="0" applyFont="1" applyFill="1"/>
    <xf numFmtId="0" fontId="0" fillId="14" borderId="0" xfId="0" applyFill="1"/>
    <xf numFmtId="0" fontId="1" fillId="0" borderId="0" xfId="0" applyFont="1" applyBorder="1" applyAlignment="1">
      <alignment horizontal="center" vertical="center"/>
    </xf>
    <xf numFmtId="0" fontId="0" fillId="0" borderId="0" xfId="0" applyBorder="1"/>
    <xf numFmtId="0" fontId="1" fillId="0" borderId="1" xfId="0" applyFont="1" applyBorder="1" applyAlignment="1">
      <alignment horizontal="center" vertical="center" wrapText="1"/>
    </xf>
    <xf numFmtId="0" fontId="10" fillId="0" borderId="0" xfId="0" applyFont="1"/>
    <xf numFmtId="0" fontId="7" fillId="0" borderId="1" xfId="0" applyFont="1" applyBorder="1" applyAlignment="1">
      <alignment horizontal="center" vertical="center"/>
    </xf>
    <xf numFmtId="0" fontId="12" fillId="0" borderId="0" xfId="0" applyFont="1"/>
    <xf numFmtId="0" fontId="0" fillId="0" borderId="1" xfId="0" applyBorder="1" applyAlignment="1">
      <alignment vertical="center" wrapText="1"/>
    </xf>
    <xf numFmtId="0" fontId="1" fillId="0" borderId="1" xfId="0" applyFont="1" applyBorder="1" applyAlignment="1">
      <alignment horizontal="right" vertical="center" wrapText="1" indent="1"/>
    </xf>
    <xf numFmtId="0" fontId="7" fillId="3" borderId="16" xfId="0" applyFont="1" applyFill="1" applyBorder="1" applyAlignment="1">
      <alignment horizontal="center" vertical="center"/>
    </xf>
    <xf numFmtId="0" fontId="3" fillId="0" borderId="11" xfId="0" applyFont="1" applyBorder="1" applyAlignment="1">
      <alignment horizontal="center" vertical="center"/>
    </xf>
    <xf numFmtId="0" fontId="7" fillId="3" borderId="22" xfId="0" applyFont="1" applyFill="1" applyBorder="1" applyAlignment="1">
      <alignment horizontal="center" vertical="center"/>
    </xf>
    <xf numFmtId="0" fontId="7" fillId="3" borderId="23" xfId="0" applyFont="1" applyFill="1" applyBorder="1" applyAlignment="1">
      <alignment horizontal="center" vertical="center"/>
    </xf>
    <xf numFmtId="0" fontId="1" fillId="0" borderId="5" xfId="0" applyFont="1" applyBorder="1" applyAlignment="1">
      <alignment horizontal="center" vertical="center"/>
    </xf>
    <xf numFmtId="0" fontId="1" fillId="0" borderId="18" xfId="0" applyFont="1" applyBorder="1" applyAlignment="1">
      <alignment horizontal="right" vertical="center" wrapText="1" indent="1"/>
    </xf>
    <xf numFmtId="0" fontId="1" fillId="0" borderId="18" xfId="0" applyFont="1" applyBorder="1" applyAlignment="1">
      <alignment horizontal="right" vertical="center" wrapText="1" indent="1" readingOrder="2"/>
    </xf>
    <xf numFmtId="0" fontId="1" fillId="0" borderId="18"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7" fillId="0" borderId="7" xfId="0" applyFont="1" applyBorder="1" applyAlignment="1">
      <alignment horizontal="center" vertical="center"/>
    </xf>
    <xf numFmtId="0" fontId="1" fillId="0" borderId="7" xfId="0" applyFont="1" applyBorder="1" applyAlignment="1">
      <alignment horizontal="right" vertical="center" wrapText="1" indent="1"/>
    </xf>
    <xf numFmtId="0" fontId="1" fillId="0" borderId="8" xfId="0" applyFont="1" applyBorder="1" applyAlignment="1">
      <alignment horizontal="center" vertical="center"/>
    </xf>
    <xf numFmtId="0" fontId="0" fillId="0" borderId="24" xfId="0" applyBorder="1"/>
    <xf numFmtId="0" fontId="0" fillId="0" borderId="25" xfId="0" applyBorder="1"/>
    <xf numFmtId="0" fontId="0" fillId="0" borderId="26" xfId="0" applyBorder="1"/>
    <xf numFmtId="0" fontId="0" fillId="0" borderId="27" xfId="0" applyBorder="1"/>
    <xf numFmtId="20" fontId="0" fillId="0" borderId="0" xfId="0" applyNumberFormat="1" applyBorder="1"/>
    <xf numFmtId="0" fontId="0" fillId="0" borderId="0" xfId="0" applyBorder="1" applyAlignment="1">
      <alignment horizontal="center" vertical="center"/>
    </xf>
    <xf numFmtId="0" fontId="2" fillId="0" borderId="0" xfId="0" applyFont="1" applyBorder="1" applyAlignment="1">
      <alignment horizontal="center" vertical="center"/>
    </xf>
    <xf numFmtId="0" fontId="0" fillId="0" borderId="28" xfId="0" applyBorder="1"/>
    <xf numFmtId="0" fontId="0" fillId="0" borderId="29" xfId="0" applyBorder="1"/>
    <xf numFmtId="0" fontId="0" fillId="0" borderId="30" xfId="0" applyBorder="1"/>
    <xf numFmtId="0" fontId="1" fillId="16" borderId="30" xfId="0" applyFont="1" applyFill="1" applyBorder="1" applyAlignment="1">
      <alignment horizontal="center" vertical="center" wrapText="1"/>
    </xf>
    <xf numFmtId="0" fontId="1" fillId="16" borderId="35" xfId="0" applyFont="1" applyFill="1" applyBorder="1" applyAlignment="1">
      <alignment horizontal="center" vertical="center" wrapText="1"/>
    </xf>
    <xf numFmtId="0" fontId="1" fillId="0" borderId="0" xfId="0" applyFont="1"/>
    <xf numFmtId="0" fontId="16" fillId="16" borderId="27" xfId="0" applyFont="1" applyFill="1" applyBorder="1" applyAlignment="1">
      <alignment horizontal="center" vertical="center" wrapText="1"/>
    </xf>
    <xf numFmtId="0" fontId="6" fillId="16" borderId="27" xfId="0" applyFont="1" applyFill="1" applyBorder="1" applyAlignment="1">
      <alignment horizontal="center" vertical="center" wrapText="1"/>
    </xf>
    <xf numFmtId="0" fontId="19" fillId="16" borderId="27" xfId="0" applyFont="1" applyFill="1" applyBorder="1" applyAlignment="1">
      <alignment horizontal="center" vertical="center" wrapText="1"/>
    </xf>
    <xf numFmtId="0" fontId="19" fillId="16" borderId="38" xfId="0" applyFont="1" applyFill="1" applyBorder="1" applyAlignment="1">
      <alignment horizontal="center" vertical="center" wrapText="1"/>
    </xf>
    <xf numFmtId="0" fontId="3" fillId="16" borderId="27" xfId="0" applyFont="1" applyFill="1" applyBorder="1" applyAlignment="1">
      <alignment horizontal="center" vertical="center" wrapText="1"/>
    </xf>
    <xf numFmtId="0" fontId="3" fillId="16" borderId="38" xfId="0" applyFont="1" applyFill="1" applyBorder="1" applyAlignment="1">
      <alignment horizontal="center" vertical="center" wrapText="1"/>
    </xf>
    <xf numFmtId="0" fontId="3" fillId="16" borderId="58" xfId="0" applyFont="1" applyFill="1" applyBorder="1" applyAlignment="1">
      <alignment horizontal="center" vertical="center" wrapText="1"/>
    </xf>
    <xf numFmtId="0" fontId="3" fillId="16" borderId="59" xfId="0" applyFont="1" applyFill="1" applyBorder="1" applyAlignment="1">
      <alignment horizontal="center" vertical="center" wrapText="1"/>
    </xf>
    <xf numFmtId="0" fontId="2" fillId="16" borderId="60" xfId="0" applyFont="1" applyFill="1" applyBorder="1" applyAlignment="1">
      <alignment horizontal="center" vertical="center" wrapText="1"/>
    </xf>
    <xf numFmtId="0" fontId="2" fillId="16" borderId="30" xfId="0" applyFont="1" applyFill="1" applyBorder="1" applyAlignment="1">
      <alignment horizontal="center" vertical="center" wrapText="1"/>
    </xf>
    <xf numFmtId="0" fontId="3" fillId="16" borderId="39" xfId="0" applyFont="1" applyFill="1" applyBorder="1" applyAlignment="1">
      <alignment vertical="center" wrapText="1"/>
    </xf>
    <xf numFmtId="0" fontId="3" fillId="16" borderId="0" xfId="0" applyFont="1" applyFill="1" applyBorder="1" applyAlignment="1">
      <alignment vertical="center" wrapText="1"/>
    </xf>
    <xf numFmtId="0" fontId="3" fillId="16" borderId="27" xfId="0" applyFont="1" applyFill="1" applyBorder="1" applyAlignment="1">
      <alignment vertical="center" wrapText="1"/>
    </xf>
    <xf numFmtId="0" fontId="2" fillId="16" borderId="30" xfId="0" applyFont="1" applyFill="1" applyBorder="1" applyAlignment="1">
      <alignment vertical="top" wrapText="1"/>
    </xf>
    <xf numFmtId="0" fontId="2" fillId="16" borderId="35" xfId="0" applyFont="1" applyFill="1" applyBorder="1" applyAlignment="1">
      <alignment vertical="top" wrapText="1"/>
    </xf>
    <xf numFmtId="0" fontId="3" fillId="16" borderId="30" xfId="0" applyFont="1" applyFill="1" applyBorder="1" applyAlignment="1">
      <alignment horizontal="center" vertical="top" wrapText="1"/>
    </xf>
    <xf numFmtId="0" fontId="3" fillId="16" borderId="27" xfId="0" applyFont="1" applyFill="1" applyBorder="1" applyAlignment="1">
      <alignment horizontal="center" vertical="center" wrapText="1" readingOrder="2"/>
    </xf>
    <xf numFmtId="0" fontId="2" fillId="16" borderId="61" xfId="0" applyFont="1" applyFill="1" applyBorder="1" applyAlignment="1">
      <alignment horizontal="center" vertical="top" wrapText="1"/>
    </xf>
    <xf numFmtId="0" fontId="2" fillId="16" borderId="62" xfId="0" applyFont="1" applyFill="1" applyBorder="1" applyAlignment="1">
      <alignment horizontal="center" vertical="top" wrapText="1"/>
    </xf>
    <xf numFmtId="0" fontId="2" fillId="16" borderId="63" xfId="0" applyFont="1" applyFill="1" applyBorder="1" applyAlignment="1">
      <alignment horizontal="center" vertical="top" wrapText="1"/>
    </xf>
    <xf numFmtId="0" fontId="2" fillId="16" borderId="64" xfId="0" applyFont="1" applyFill="1" applyBorder="1" applyAlignment="1">
      <alignment horizontal="center" vertical="top" wrapText="1"/>
    </xf>
    <xf numFmtId="0" fontId="3" fillId="16" borderId="65" xfId="0" applyFont="1" applyFill="1" applyBorder="1" applyAlignment="1">
      <alignment horizontal="center" vertical="top" wrapText="1"/>
    </xf>
    <xf numFmtId="0" fontId="3" fillId="16" borderId="66" xfId="0" applyFont="1" applyFill="1" applyBorder="1" applyAlignment="1">
      <alignment horizontal="center" vertical="top" wrapText="1"/>
    </xf>
    <xf numFmtId="0" fontId="3" fillId="16" borderId="14" xfId="0" applyFont="1" applyFill="1" applyBorder="1" applyAlignment="1">
      <alignment horizontal="center" vertical="center" wrapText="1"/>
    </xf>
    <xf numFmtId="0" fontId="3" fillId="16" borderId="30" xfId="0" applyFont="1" applyFill="1" applyBorder="1" applyAlignment="1">
      <alignment horizontal="center" vertical="center" wrapText="1"/>
    </xf>
    <xf numFmtId="0" fontId="3" fillId="16" borderId="35"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7" fillId="4" borderId="1" xfId="0" applyFont="1" applyFill="1" applyBorder="1" applyAlignment="1">
      <alignment horizontal="center" vertical="center" textRotation="90"/>
    </xf>
    <xf numFmtId="0" fontId="7" fillId="4" borderId="1" xfId="0" applyFont="1" applyFill="1" applyBorder="1" applyAlignment="1">
      <alignment horizontal="center" vertical="center"/>
    </xf>
    <xf numFmtId="0" fontId="3" fillId="0" borderId="50"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43" xfId="0" applyFont="1" applyBorder="1" applyAlignment="1">
      <alignment horizontal="center" vertical="center" wrapText="1"/>
    </xf>
    <xf numFmtId="0" fontId="18" fillId="0" borderId="51" xfId="0" applyFont="1" applyBorder="1" applyAlignment="1">
      <alignment horizontal="center" vertical="center" textRotation="90" wrapText="1"/>
    </xf>
    <xf numFmtId="0" fontId="18" fillId="0" borderId="37" xfId="0" applyFont="1" applyBorder="1" applyAlignment="1">
      <alignment horizontal="center" vertical="center" textRotation="90" wrapText="1"/>
    </xf>
    <xf numFmtId="0" fontId="18" fillId="0" borderId="36" xfId="0" applyFont="1" applyBorder="1" applyAlignment="1">
      <alignment horizontal="center" vertical="center" textRotation="90" wrapText="1"/>
    </xf>
    <xf numFmtId="0" fontId="20" fillId="18" borderId="12" xfId="0" applyFont="1" applyFill="1" applyBorder="1" applyAlignment="1">
      <alignment horizontal="center" vertical="center" wrapText="1"/>
    </xf>
    <xf numFmtId="0" fontId="20" fillId="18" borderId="13" xfId="0" applyFont="1" applyFill="1" applyBorder="1" applyAlignment="1">
      <alignment horizontal="center" vertical="center" wrapText="1"/>
    </xf>
    <xf numFmtId="0" fontId="20" fillId="18" borderId="14" xfId="0" applyFont="1" applyFill="1" applyBorder="1" applyAlignment="1">
      <alignment horizontal="center" vertical="center" wrapText="1"/>
    </xf>
    <xf numFmtId="0" fontId="20" fillId="18" borderId="44" xfId="0" applyFont="1" applyFill="1" applyBorder="1" applyAlignment="1">
      <alignment horizontal="center" vertical="center" wrapText="1"/>
    </xf>
    <xf numFmtId="0" fontId="20" fillId="18" borderId="45" xfId="0" applyFont="1" applyFill="1" applyBorder="1" applyAlignment="1">
      <alignment horizontal="center" vertical="center" wrapText="1"/>
    </xf>
    <xf numFmtId="0" fontId="20" fillId="18" borderId="46" xfId="0" applyFont="1" applyFill="1" applyBorder="1" applyAlignment="1">
      <alignment horizontal="center" vertical="center" wrapText="1"/>
    </xf>
    <xf numFmtId="0" fontId="15" fillId="16" borderId="39" xfId="0" applyFont="1" applyFill="1" applyBorder="1" applyAlignment="1">
      <alignment vertical="center" wrapText="1"/>
    </xf>
    <xf numFmtId="0" fontId="15" fillId="16" borderId="0" xfId="0" applyFont="1" applyFill="1" applyBorder="1" applyAlignment="1">
      <alignment vertical="center" wrapText="1"/>
    </xf>
    <xf numFmtId="0" fontId="15" fillId="16" borderId="27" xfId="0" applyFont="1" applyFill="1" applyBorder="1" applyAlignment="1">
      <alignment vertical="center" wrapText="1"/>
    </xf>
    <xf numFmtId="0" fontId="1" fillId="16" borderId="39" xfId="0" applyFont="1" applyFill="1" applyBorder="1" applyAlignment="1">
      <alignment vertical="top" wrapText="1"/>
    </xf>
    <xf numFmtId="0" fontId="1" fillId="16" borderId="0" xfId="0" applyFont="1" applyFill="1" applyBorder="1" applyAlignment="1">
      <alignment vertical="top" wrapText="1"/>
    </xf>
    <xf numFmtId="0" fontId="1" fillId="16" borderId="27" xfId="0" applyFont="1" applyFill="1" applyBorder="1" applyAlignment="1">
      <alignment vertical="top" wrapText="1"/>
    </xf>
    <xf numFmtId="0" fontId="0" fillId="16" borderId="39" xfId="0" applyFill="1" applyBorder="1" applyAlignment="1">
      <alignment vertical="top" wrapText="1"/>
    </xf>
    <xf numFmtId="0" fontId="0" fillId="16" borderId="0" xfId="0" applyFill="1" applyBorder="1" applyAlignment="1">
      <alignment vertical="top" wrapText="1"/>
    </xf>
    <xf numFmtId="0" fontId="0" fillId="16" borderId="27" xfId="0" applyFill="1" applyBorder="1" applyAlignment="1">
      <alignment vertical="top" wrapText="1"/>
    </xf>
    <xf numFmtId="0" fontId="0" fillId="16" borderId="40" xfId="0" applyFill="1" applyBorder="1" applyAlignment="1">
      <alignment vertical="top" wrapText="1"/>
    </xf>
    <xf numFmtId="0" fontId="0" fillId="16" borderId="41" xfId="0" applyFill="1" applyBorder="1" applyAlignment="1">
      <alignment vertical="top" wrapText="1"/>
    </xf>
    <xf numFmtId="0" fontId="0" fillId="16" borderId="42" xfId="0" applyFill="1" applyBorder="1" applyAlignment="1">
      <alignment vertical="top" wrapText="1"/>
    </xf>
    <xf numFmtId="0" fontId="7" fillId="17" borderId="12" xfId="0" applyFont="1" applyFill="1" applyBorder="1" applyAlignment="1">
      <alignment horizontal="center" vertical="center" wrapText="1"/>
    </xf>
    <xf numFmtId="0" fontId="7" fillId="17" borderId="13" xfId="0" applyFont="1" applyFill="1" applyBorder="1" applyAlignment="1">
      <alignment horizontal="center" vertical="center" wrapText="1"/>
    </xf>
    <xf numFmtId="0" fontId="7" fillId="17" borderId="14" xfId="0" applyFont="1" applyFill="1" applyBorder="1" applyAlignment="1">
      <alignment horizontal="center" vertical="center" wrapText="1"/>
    </xf>
    <xf numFmtId="0" fontId="20" fillId="20" borderId="12" xfId="0" applyFont="1" applyFill="1" applyBorder="1" applyAlignment="1">
      <alignment horizontal="center" vertical="center" wrapText="1"/>
    </xf>
    <xf numFmtId="0" fontId="20" fillId="20" borderId="13" xfId="0" applyFont="1" applyFill="1" applyBorder="1" applyAlignment="1">
      <alignment horizontal="center" vertical="center" wrapText="1"/>
    </xf>
    <xf numFmtId="0" fontId="20" fillId="20" borderId="14" xfId="0" applyFont="1" applyFill="1" applyBorder="1" applyAlignment="1">
      <alignment horizontal="center" vertical="center" wrapText="1"/>
    </xf>
    <xf numFmtId="0" fontId="20" fillId="20" borderId="44" xfId="0" applyFont="1" applyFill="1" applyBorder="1" applyAlignment="1">
      <alignment horizontal="center" vertical="center" wrapText="1"/>
    </xf>
    <xf numFmtId="0" fontId="20" fillId="20" borderId="45" xfId="0" applyFont="1" applyFill="1" applyBorder="1" applyAlignment="1">
      <alignment horizontal="center" vertical="center" wrapText="1"/>
    </xf>
    <xf numFmtId="0" fontId="20" fillId="20" borderId="46" xfId="0" applyFont="1" applyFill="1" applyBorder="1" applyAlignment="1">
      <alignment horizontal="center" vertical="center" wrapText="1"/>
    </xf>
    <xf numFmtId="0" fontId="20" fillId="19" borderId="12" xfId="0" applyFont="1" applyFill="1" applyBorder="1" applyAlignment="1">
      <alignment horizontal="center" vertical="center" wrapText="1"/>
    </xf>
    <xf numFmtId="0" fontId="20" fillId="19" borderId="13" xfId="0" applyFont="1" applyFill="1" applyBorder="1" applyAlignment="1">
      <alignment horizontal="center" vertical="center" wrapText="1"/>
    </xf>
    <xf numFmtId="0" fontId="20" fillId="19" borderId="14" xfId="0" applyFont="1" applyFill="1" applyBorder="1" applyAlignment="1">
      <alignment horizontal="center" vertical="center" wrapText="1"/>
    </xf>
    <xf numFmtId="0" fontId="7" fillId="17" borderId="44" xfId="0" applyFont="1" applyFill="1" applyBorder="1" applyAlignment="1">
      <alignment horizontal="center" vertical="center" wrapText="1"/>
    </xf>
    <xf numFmtId="0" fontId="7" fillId="17" borderId="45" xfId="0" applyFont="1" applyFill="1" applyBorder="1" applyAlignment="1">
      <alignment horizontal="center" vertical="center" wrapText="1"/>
    </xf>
    <xf numFmtId="0" fontId="7" fillId="17" borderId="46"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48" xfId="0" applyFont="1" applyBorder="1" applyAlignment="1">
      <alignment horizontal="center" vertical="center" wrapText="1"/>
    </xf>
    <xf numFmtId="0" fontId="17" fillId="0" borderId="49" xfId="0" applyFont="1" applyBorder="1" applyAlignment="1">
      <alignment horizontal="center" vertical="center" wrapText="1"/>
    </xf>
    <xf numFmtId="0" fontId="18" fillId="0" borderId="31" xfId="0" applyFont="1" applyBorder="1" applyAlignment="1">
      <alignment horizontal="center" vertical="center" wrapText="1"/>
    </xf>
    <xf numFmtId="0" fontId="18" fillId="0" borderId="32" xfId="0" applyFont="1" applyBorder="1" applyAlignment="1">
      <alignment horizontal="center" vertical="center" wrapText="1"/>
    </xf>
    <xf numFmtId="0" fontId="18" fillId="0" borderId="33"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5" xfId="0" applyFont="1" applyBorder="1" applyAlignment="1">
      <alignment horizontal="center" vertical="center" wrapText="1"/>
    </xf>
    <xf numFmtId="0" fontId="20" fillId="14" borderId="12" xfId="0" applyFont="1" applyFill="1" applyBorder="1" applyAlignment="1">
      <alignment horizontal="center" vertical="center" wrapText="1"/>
    </xf>
    <xf numFmtId="0" fontId="20" fillId="14" borderId="13" xfId="0" applyFont="1" applyFill="1" applyBorder="1" applyAlignment="1">
      <alignment horizontal="center" vertical="center" wrapText="1"/>
    </xf>
    <xf numFmtId="0" fontId="20" fillId="14" borderId="14" xfId="0" applyFont="1" applyFill="1" applyBorder="1" applyAlignment="1">
      <alignment horizontal="center" vertical="center" wrapText="1"/>
    </xf>
    <xf numFmtId="0" fontId="14" fillId="16" borderId="39" xfId="0" applyFont="1" applyFill="1" applyBorder="1" applyAlignment="1">
      <alignment vertical="center" wrapText="1"/>
    </xf>
    <xf numFmtId="0" fontId="14" fillId="16" borderId="0" xfId="0" applyFont="1" applyFill="1" applyBorder="1" applyAlignment="1">
      <alignment vertical="center" wrapText="1"/>
    </xf>
    <xf numFmtId="0" fontId="14" fillId="16" borderId="27" xfId="0" applyFont="1" applyFill="1" applyBorder="1" applyAlignment="1">
      <alignment vertical="center" wrapText="1"/>
    </xf>
    <xf numFmtId="0" fontId="20" fillId="21" borderId="12" xfId="0" applyFont="1" applyFill="1" applyBorder="1" applyAlignment="1">
      <alignment horizontal="center" vertical="center" wrapText="1"/>
    </xf>
    <xf numFmtId="0" fontId="20" fillId="21" borderId="13" xfId="0" applyFont="1" applyFill="1" applyBorder="1" applyAlignment="1">
      <alignment horizontal="center" vertical="center" wrapText="1"/>
    </xf>
    <xf numFmtId="0" fontId="20" fillId="21" borderId="14" xfId="0" applyFont="1" applyFill="1" applyBorder="1" applyAlignment="1">
      <alignment horizontal="center" vertical="center" wrapText="1"/>
    </xf>
    <xf numFmtId="0" fontId="13" fillId="16" borderId="47" xfId="0" applyFont="1" applyFill="1" applyBorder="1" applyAlignment="1">
      <alignment horizontal="right" vertical="center" wrapText="1"/>
    </xf>
    <xf numFmtId="0" fontId="13" fillId="16" borderId="48" xfId="0" applyFont="1" applyFill="1" applyBorder="1" applyAlignment="1">
      <alignment horizontal="right" vertical="center" wrapText="1"/>
    </xf>
    <xf numFmtId="0" fontId="13" fillId="16" borderId="25" xfId="0" applyFont="1" applyFill="1" applyBorder="1" applyAlignment="1">
      <alignment horizontal="right" vertical="center" wrapText="1"/>
    </xf>
    <xf numFmtId="0" fontId="20" fillId="14" borderId="44" xfId="0" applyFont="1" applyFill="1" applyBorder="1" applyAlignment="1">
      <alignment horizontal="center" vertical="center" wrapText="1"/>
    </xf>
    <xf numFmtId="0" fontId="20" fillId="14" borderId="45" xfId="0" applyFont="1" applyFill="1" applyBorder="1" applyAlignment="1">
      <alignment horizontal="center" vertical="center" wrapText="1"/>
    </xf>
    <xf numFmtId="0" fontId="20" fillId="14" borderId="46" xfId="0" applyFont="1" applyFill="1" applyBorder="1" applyAlignment="1">
      <alignment horizontal="center" vertical="center" wrapText="1"/>
    </xf>
    <xf numFmtId="0" fontId="20" fillId="19" borderId="44" xfId="0" applyFont="1" applyFill="1" applyBorder="1" applyAlignment="1">
      <alignment horizontal="center" vertical="center" wrapText="1"/>
    </xf>
    <xf numFmtId="0" fontId="20" fillId="19" borderId="45" xfId="0" applyFont="1" applyFill="1" applyBorder="1" applyAlignment="1">
      <alignment horizontal="center" vertical="center" wrapText="1"/>
    </xf>
    <xf numFmtId="0" fontId="20" fillId="19" borderId="46" xfId="0" applyFont="1" applyFill="1" applyBorder="1" applyAlignment="1">
      <alignment horizontal="center" vertical="center" wrapText="1"/>
    </xf>
    <xf numFmtId="0" fontId="3" fillId="16" borderId="55" xfId="0" applyFont="1" applyFill="1" applyBorder="1" applyAlignment="1">
      <alignment vertical="center" wrapText="1"/>
    </xf>
    <xf numFmtId="0" fontId="3" fillId="16" borderId="56" xfId="0" applyFont="1" applyFill="1" applyBorder="1" applyAlignment="1">
      <alignment vertical="center" wrapText="1"/>
    </xf>
    <xf numFmtId="0" fontId="3" fillId="16" borderId="57" xfId="0" applyFont="1" applyFill="1" applyBorder="1" applyAlignment="1">
      <alignment vertical="center" wrapText="1"/>
    </xf>
    <xf numFmtId="0" fontId="3" fillId="16" borderId="67" xfId="0" applyFont="1" applyFill="1" applyBorder="1" applyAlignment="1">
      <alignment horizontal="center" vertical="center" wrapText="1"/>
    </xf>
    <xf numFmtId="0" fontId="3" fillId="16" borderId="68" xfId="0" applyFont="1" applyFill="1" applyBorder="1" applyAlignment="1">
      <alignment horizontal="center" vertical="center" wrapText="1"/>
    </xf>
    <xf numFmtId="0" fontId="3" fillId="16" borderId="69" xfId="0"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9" fillId="18" borderId="12" xfId="0" applyFont="1" applyFill="1" applyBorder="1" applyAlignment="1">
      <alignment horizontal="center" vertical="center" wrapText="1"/>
    </xf>
    <xf numFmtId="0" fontId="9" fillId="18" borderId="13" xfId="0" applyFont="1" applyFill="1" applyBorder="1" applyAlignment="1">
      <alignment horizontal="center" vertical="center" wrapText="1"/>
    </xf>
    <xf numFmtId="0" fontId="9" fillId="18" borderId="14" xfId="0" applyFont="1" applyFill="1" applyBorder="1" applyAlignment="1">
      <alignment horizontal="center" vertical="center" wrapText="1"/>
    </xf>
    <xf numFmtId="0" fontId="9" fillId="19" borderId="12" xfId="0" applyFont="1" applyFill="1" applyBorder="1" applyAlignment="1">
      <alignment horizontal="center" vertical="center" wrapText="1"/>
    </xf>
    <xf numFmtId="0" fontId="9" fillId="19" borderId="13" xfId="0" applyFont="1" applyFill="1" applyBorder="1" applyAlignment="1">
      <alignment horizontal="center" vertical="center" wrapText="1"/>
    </xf>
    <xf numFmtId="0" fontId="9" fillId="19" borderId="14" xfId="0" applyFont="1" applyFill="1" applyBorder="1" applyAlignment="1">
      <alignment horizontal="center" vertical="center" wrapText="1"/>
    </xf>
    <xf numFmtId="0" fontId="9" fillId="22" borderId="12" xfId="0" applyFont="1" applyFill="1" applyBorder="1" applyAlignment="1">
      <alignment horizontal="center" vertical="center" wrapText="1"/>
    </xf>
    <xf numFmtId="0" fontId="9" fillId="22" borderId="13" xfId="0" applyFont="1" applyFill="1" applyBorder="1" applyAlignment="1">
      <alignment horizontal="center" vertical="center" wrapText="1"/>
    </xf>
    <xf numFmtId="0" fontId="9" fillId="22" borderId="14"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4" borderId="13" xfId="0" applyFont="1" applyFill="1" applyBorder="1" applyAlignment="1">
      <alignment horizontal="center" vertical="center" wrapText="1"/>
    </xf>
    <xf numFmtId="0" fontId="9" fillId="14" borderId="14" xfId="0" applyFont="1" applyFill="1" applyBorder="1" applyAlignment="1">
      <alignment horizontal="center" vertical="center" wrapText="1"/>
    </xf>
    <xf numFmtId="0" fontId="9" fillId="14" borderId="44" xfId="0" applyFont="1" applyFill="1" applyBorder="1" applyAlignment="1">
      <alignment horizontal="center" vertical="center" wrapText="1"/>
    </xf>
    <xf numFmtId="0" fontId="9" fillId="14" borderId="45" xfId="0" applyFont="1" applyFill="1" applyBorder="1" applyAlignment="1">
      <alignment horizontal="center" vertical="center" wrapText="1"/>
    </xf>
    <xf numFmtId="0" fontId="9" fillId="14" borderId="46" xfId="0" applyFont="1" applyFill="1" applyBorder="1" applyAlignment="1">
      <alignment horizontal="center" vertical="center" wrapText="1"/>
    </xf>
    <xf numFmtId="0" fontId="9" fillId="22" borderId="44" xfId="0" applyFont="1" applyFill="1" applyBorder="1" applyAlignment="1">
      <alignment horizontal="center" vertical="center" wrapText="1"/>
    </xf>
    <xf numFmtId="0" fontId="9" fillId="22" borderId="45" xfId="0" applyFont="1" applyFill="1" applyBorder="1" applyAlignment="1">
      <alignment horizontal="center" vertical="center" wrapText="1"/>
    </xf>
    <xf numFmtId="0" fontId="9" fillId="22" borderId="46" xfId="0" applyFont="1" applyFill="1" applyBorder="1" applyAlignment="1">
      <alignment horizontal="center" vertical="center" wrapText="1"/>
    </xf>
    <xf numFmtId="0" fontId="9" fillId="21" borderId="12" xfId="0" applyFont="1" applyFill="1" applyBorder="1" applyAlignment="1">
      <alignment horizontal="center" vertical="center" wrapText="1"/>
    </xf>
    <xf numFmtId="0" fontId="9" fillId="21" borderId="13" xfId="0" applyFont="1" applyFill="1" applyBorder="1" applyAlignment="1">
      <alignment horizontal="center" vertical="center" wrapText="1"/>
    </xf>
    <xf numFmtId="0" fontId="9" fillId="21" borderId="14" xfId="0" applyFont="1" applyFill="1" applyBorder="1" applyAlignment="1">
      <alignment horizontal="center" vertical="center" wrapText="1"/>
    </xf>
    <xf numFmtId="0" fontId="9" fillId="18" borderId="44" xfId="0" applyFont="1" applyFill="1" applyBorder="1" applyAlignment="1">
      <alignment horizontal="center" vertical="center" wrapText="1"/>
    </xf>
    <xf numFmtId="0" fontId="9" fillId="18" borderId="45" xfId="0" applyFont="1" applyFill="1" applyBorder="1" applyAlignment="1">
      <alignment horizontal="center" vertical="center" wrapText="1"/>
    </xf>
    <xf numFmtId="0" fontId="9" fillId="18" borderId="46" xfId="0" applyFont="1" applyFill="1" applyBorder="1" applyAlignment="1">
      <alignment horizontal="center" vertical="center" wrapText="1"/>
    </xf>
    <xf numFmtId="0" fontId="9" fillId="19" borderId="44" xfId="0" applyFont="1" applyFill="1" applyBorder="1" applyAlignment="1">
      <alignment horizontal="center" vertical="center" wrapText="1"/>
    </xf>
    <xf numFmtId="0" fontId="9" fillId="19" borderId="45" xfId="0" applyFont="1" applyFill="1" applyBorder="1" applyAlignment="1">
      <alignment horizontal="center" vertical="center" wrapText="1"/>
    </xf>
    <xf numFmtId="0" fontId="9" fillId="19" borderId="46" xfId="0" applyFont="1" applyFill="1" applyBorder="1" applyAlignment="1">
      <alignment horizontal="center" vertical="center" wrapText="1"/>
    </xf>
    <xf numFmtId="0" fontId="3" fillId="16" borderId="39" xfId="0" applyFont="1" applyFill="1" applyBorder="1" applyAlignment="1">
      <alignment horizontal="center" vertical="center" wrapText="1"/>
    </xf>
    <xf numFmtId="0" fontId="3" fillId="16" borderId="0" xfId="0" applyFont="1" applyFill="1" applyBorder="1" applyAlignment="1">
      <alignment horizontal="center" vertical="center" wrapText="1"/>
    </xf>
    <xf numFmtId="0" fontId="3" fillId="16" borderId="27" xfId="0" applyFont="1" applyFill="1" applyBorder="1" applyAlignment="1">
      <alignment horizontal="center" vertical="center" wrapText="1"/>
    </xf>
    <xf numFmtId="0" fontId="3" fillId="16" borderId="39" xfId="0" applyFont="1" applyFill="1" applyBorder="1" applyAlignment="1">
      <alignment vertical="center" wrapText="1"/>
    </xf>
    <xf numFmtId="0" fontId="3" fillId="16" borderId="0" xfId="0" applyFont="1" applyFill="1" applyBorder="1" applyAlignment="1">
      <alignment vertical="center" wrapText="1"/>
    </xf>
    <xf numFmtId="0" fontId="3" fillId="16" borderId="27" xfId="0" applyFont="1" applyFill="1" applyBorder="1" applyAlignment="1">
      <alignment vertical="center" wrapText="1"/>
    </xf>
    <xf numFmtId="0" fontId="3" fillId="0" borderId="51" xfId="0" applyFont="1" applyBorder="1" applyAlignment="1">
      <alignment horizontal="center" vertical="center" textRotation="90" wrapText="1"/>
    </xf>
    <xf numFmtId="0" fontId="3" fillId="0" borderId="37" xfId="0" applyFont="1" applyBorder="1" applyAlignment="1">
      <alignment horizontal="center" vertical="center" textRotation="90" wrapText="1"/>
    </xf>
    <xf numFmtId="0" fontId="3" fillId="0" borderId="36" xfId="0" applyFont="1" applyBorder="1" applyAlignment="1">
      <alignment horizontal="center" vertical="center" textRotation="90" wrapText="1"/>
    </xf>
    <xf numFmtId="0" fontId="3" fillId="0" borderId="24"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49"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5" xfId="0" applyFont="1" applyBorder="1" applyAlignment="1">
      <alignment horizontal="center" vertical="center" wrapText="1"/>
    </xf>
    <xf numFmtId="0" fontId="2" fillId="16" borderId="39" xfId="0" applyFont="1" applyFill="1" applyBorder="1" applyAlignment="1">
      <alignment vertical="top" wrapText="1"/>
    </xf>
    <xf numFmtId="0" fontId="2" fillId="16" borderId="0" xfId="0" applyFont="1" applyFill="1" applyBorder="1" applyAlignment="1">
      <alignment vertical="top" wrapText="1"/>
    </xf>
    <xf numFmtId="0" fontId="2" fillId="16" borderId="27" xfId="0" applyFont="1" applyFill="1" applyBorder="1" applyAlignment="1">
      <alignment vertical="top" wrapText="1"/>
    </xf>
    <xf numFmtId="0" fontId="2" fillId="16" borderId="34" xfId="0" applyFont="1" applyFill="1" applyBorder="1" applyAlignment="1">
      <alignment vertical="top" wrapText="1"/>
    </xf>
    <xf numFmtId="0" fontId="2" fillId="16" borderId="29" xfId="0" applyFont="1" applyFill="1" applyBorder="1" applyAlignment="1">
      <alignment vertical="top" wrapText="1"/>
    </xf>
    <xf numFmtId="0" fontId="2" fillId="16" borderId="30" xfId="0" applyFont="1" applyFill="1" applyBorder="1" applyAlignment="1">
      <alignment vertical="top" wrapText="1"/>
    </xf>
    <xf numFmtId="0" fontId="3" fillId="16" borderId="47" xfId="0" applyFont="1" applyFill="1" applyBorder="1" applyAlignment="1">
      <alignment horizontal="center" vertical="center" wrapText="1"/>
    </xf>
    <xf numFmtId="0" fontId="3" fillId="16" borderId="48" xfId="0" applyFont="1" applyFill="1" applyBorder="1" applyAlignment="1">
      <alignment horizontal="center" vertical="center" wrapText="1"/>
    </xf>
    <xf numFmtId="0" fontId="3" fillId="16" borderId="25" xfId="0" applyFont="1" applyFill="1" applyBorder="1" applyAlignment="1">
      <alignment horizontal="center" vertical="center" wrapText="1"/>
    </xf>
    <xf numFmtId="0" fontId="9" fillId="15" borderId="19" xfId="0" applyFont="1" applyFill="1" applyBorder="1" applyAlignment="1">
      <alignment horizontal="center" vertical="center" wrapText="1"/>
    </xf>
    <xf numFmtId="0" fontId="9" fillId="15" borderId="20" xfId="0" applyFont="1" applyFill="1" applyBorder="1" applyAlignment="1">
      <alignment horizontal="center" vertical="center"/>
    </xf>
    <xf numFmtId="0" fontId="9" fillId="15" borderId="21" xfId="0" applyFont="1" applyFill="1" applyBorder="1" applyAlignment="1">
      <alignment horizontal="center" vertical="center"/>
    </xf>
    <xf numFmtId="0" fontId="7" fillId="10" borderId="1" xfId="0" applyFont="1" applyFill="1" applyBorder="1" applyAlignment="1">
      <alignment horizontal="center" vertical="center"/>
    </xf>
    <xf numFmtId="0" fontId="7" fillId="12" borderId="1" xfId="0" applyFont="1" applyFill="1" applyBorder="1" applyAlignment="1">
      <alignment horizontal="center" vertical="center"/>
    </xf>
  </cellXfs>
  <cellStyles count="1">
    <cellStyle name="Normal" xfId="0" builtinId="0"/>
  </cellStyles>
  <dxfs count="55">
    <dxf>
      <fill>
        <patternFill>
          <bgColor theme="9" tint="0.39994506668294322"/>
        </patternFill>
      </fill>
    </dxf>
    <dxf>
      <fill>
        <patternFill>
          <bgColor theme="9" tint="0.59996337778862885"/>
        </patternFill>
      </fill>
    </dxf>
    <dxf>
      <fill>
        <patternFill>
          <bgColor rgb="FFFFFFAA"/>
        </patternFill>
      </fill>
    </dxf>
    <dxf>
      <fill>
        <patternFill>
          <bgColor theme="5" tint="0.59996337778862885"/>
        </patternFill>
      </fill>
    </dxf>
    <dxf>
      <fill>
        <patternFill>
          <bgColor rgb="FFFF6464"/>
        </patternFill>
      </fill>
    </dxf>
    <dxf>
      <fill>
        <patternFill>
          <bgColor theme="9" tint="0.39994506668294322"/>
        </patternFill>
      </fill>
    </dxf>
    <dxf>
      <fill>
        <patternFill>
          <bgColor theme="9" tint="0.59996337778862885"/>
        </patternFill>
      </fill>
    </dxf>
    <dxf>
      <fill>
        <patternFill>
          <bgColor rgb="FFFFFFAA"/>
        </patternFill>
      </fill>
    </dxf>
    <dxf>
      <fill>
        <patternFill>
          <bgColor theme="5" tint="0.59996337778862885"/>
        </patternFill>
      </fill>
    </dxf>
    <dxf>
      <fill>
        <patternFill>
          <bgColor rgb="FFFF6464"/>
        </patternFill>
      </fill>
    </dxf>
    <dxf>
      <font>
        <b val="0"/>
        <i val="0"/>
      </font>
      <fill>
        <patternFill>
          <bgColor theme="9" tint="0.39994506668294322"/>
        </patternFill>
      </fill>
    </dxf>
    <dxf>
      <fill>
        <patternFill>
          <bgColor theme="9" tint="0.59996337778862885"/>
        </patternFill>
      </fill>
    </dxf>
    <dxf>
      <fill>
        <patternFill>
          <bgColor rgb="FFFFFFAA"/>
        </patternFill>
      </fill>
    </dxf>
    <dxf>
      <fill>
        <patternFill>
          <bgColor theme="5" tint="0.59996337778862885"/>
        </patternFill>
      </fill>
    </dxf>
    <dxf>
      <fill>
        <patternFill>
          <bgColor rgb="FFFF6464"/>
        </patternFill>
      </fill>
    </dxf>
    <dxf>
      <font>
        <b val="0"/>
        <i val="0"/>
      </font>
      <fill>
        <patternFill>
          <bgColor theme="9" tint="0.39994506668294322"/>
        </patternFill>
      </fill>
    </dxf>
    <dxf>
      <fill>
        <patternFill>
          <bgColor theme="9" tint="0.59996337778862885"/>
        </patternFill>
      </fill>
    </dxf>
    <dxf>
      <fill>
        <patternFill>
          <bgColor rgb="FFFFFFAA"/>
        </patternFill>
      </fill>
    </dxf>
    <dxf>
      <fill>
        <patternFill>
          <bgColor theme="5" tint="0.59996337778862885"/>
        </patternFill>
      </fill>
    </dxf>
    <dxf>
      <fill>
        <patternFill>
          <bgColor rgb="FFFF6464"/>
        </patternFill>
      </fill>
    </dxf>
    <dxf>
      <font>
        <b/>
        <i/>
        <color rgb="FFFF0000"/>
      </font>
      <fill>
        <patternFill>
          <bgColor theme="9" tint="0.39994506668294322"/>
        </patternFill>
      </fill>
    </dxf>
    <dxf>
      <font>
        <b/>
        <i/>
        <color rgb="FFFF0000"/>
      </font>
      <fill>
        <patternFill>
          <bgColor theme="9" tint="0.59996337778862885"/>
        </patternFill>
      </fill>
    </dxf>
    <dxf>
      <font>
        <b/>
        <i/>
        <color rgb="FFFF0000"/>
      </font>
      <fill>
        <patternFill>
          <bgColor rgb="FFFFFFAA"/>
        </patternFill>
      </fill>
    </dxf>
    <dxf>
      <font>
        <b/>
        <i/>
        <color rgb="FFFF0000"/>
      </font>
      <fill>
        <patternFill>
          <bgColor theme="5" tint="0.59996337778862885"/>
        </patternFill>
      </fill>
    </dxf>
    <dxf>
      <font>
        <b/>
        <i/>
        <color rgb="FFFFFF00"/>
      </font>
      <fill>
        <patternFill>
          <bgColor rgb="FFFF6464"/>
        </patternFill>
      </fill>
    </dxf>
    <dxf>
      <font>
        <b/>
        <i/>
        <color rgb="FFFFFF00"/>
      </font>
      <fill>
        <patternFill patternType="solid">
          <bgColor rgb="FFFF5A5A"/>
        </patternFill>
      </fill>
    </dxf>
    <dxf>
      <font>
        <b/>
        <i/>
        <color rgb="FFFFFF00"/>
      </font>
      <fill>
        <patternFill patternType="solid">
          <bgColor rgb="FFFF5A5A"/>
        </patternFill>
      </fill>
    </dxf>
    <dxf>
      <font>
        <b/>
        <i/>
        <color rgb="FFFFFF00"/>
      </font>
      <fill>
        <patternFill patternType="solid">
          <bgColor rgb="FFFF5A5A"/>
        </patternFill>
      </fill>
    </dxf>
    <dxf>
      <font>
        <b/>
        <i/>
        <color rgb="FFFF0000"/>
      </font>
      <fill>
        <patternFill patternType="solid">
          <bgColor theme="5" tint="0.59996337778862885"/>
        </patternFill>
      </fill>
    </dxf>
    <dxf>
      <font>
        <b/>
        <i/>
        <color rgb="FFFF0000"/>
      </font>
      <fill>
        <patternFill patternType="solid">
          <bgColor theme="5" tint="0.59996337778862885"/>
        </patternFill>
      </fill>
    </dxf>
    <dxf>
      <font>
        <b/>
        <i/>
        <color rgb="FFFF0000"/>
      </font>
      <fill>
        <patternFill patternType="solid">
          <bgColor theme="5" tint="0.59996337778862885"/>
        </patternFill>
      </fill>
    </dxf>
    <dxf>
      <font>
        <b/>
        <i/>
        <color rgb="FFFF0000"/>
      </font>
      <fill>
        <patternFill patternType="solid">
          <bgColor theme="5" tint="0.59996337778862885"/>
        </patternFill>
      </fill>
    </dxf>
    <dxf>
      <font>
        <b/>
        <i/>
        <color rgb="FFFF0000"/>
      </font>
      <fill>
        <patternFill patternType="solid">
          <bgColor theme="5" tint="0.59996337778862885"/>
        </patternFill>
      </fill>
    </dxf>
    <dxf>
      <font>
        <b/>
        <i/>
        <color rgb="FFFF0000"/>
      </font>
      <fill>
        <patternFill patternType="solid">
          <bgColor rgb="FFFFFFAA"/>
        </patternFill>
      </fill>
    </dxf>
    <dxf>
      <font>
        <b/>
        <i/>
        <color rgb="FFFF0000"/>
      </font>
      <fill>
        <patternFill patternType="solid">
          <bgColor rgb="FFFFFFAA"/>
        </patternFill>
      </fill>
    </dxf>
    <dxf>
      <font>
        <b/>
        <i/>
        <color rgb="FFFF0000"/>
      </font>
      <fill>
        <patternFill patternType="solid">
          <bgColor rgb="FFFFFFAA"/>
        </patternFill>
      </fill>
    </dxf>
    <dxf>
      <font>
        <b/>
        <i/>
        <color rgb="FFFF0000"/>
      </font>
      <fill>
        <patternFill patternType="solid">
          <bgColor rgb="FFFFFFAA"/>
        </patternFill>
      </fill>
    </dxf>
    <dxf>
      <font>
        <b/>
        <i/>
        <color rgb="FFFF0000"/>
      </font>
      <fill>
        <patternFill patternType="solid">
          <bgColor rgb="FFFFFFAA"/>
        </patternFill>
      </fill>
    </dxf>
    <dxf>
      <font>
        <b/>
        <i/>
        <color rgb="FFFF0000"/>
      </font>
      <fill>
        <patternFill patternType="solid">
          <bgColor theme="9" tint="0.59996337778862885"/>
        </patternFill>
      </fill>
    </dxf>
    <dxf>
      <font>
        <b/>
        <i/>
        <color rgb="FFFF0000"/>
      </font>
      <fill>
        <patternFill patternType="solid">
          <bgColor theme="9" tint="0.59996337778862885"/>
        </patternFill>
      </fill>
    </dxf>
    <dxf>
      <font>
        <b/>
        <i/>
        <color rgb="FFFF0000"/>
      </font>
      <fill>
        <patternFill patternType="solid">
          <bgColor theme="9" tint="0.59996337778862885"/>
        </patternFill>
      </fill>
    </dxf>
    <dxf>
      <font>
        <b/>
        <i/>
        <color rgb="FFFF0000"/>
      </font>
      <fill>
        <patternFill patternType="solid">
          <bgColor theme="9" tint="0.59996337778862885"/>
        </patternFill>
      </fill>
    </dxf>
    <dxf>
      <font>
        <b/>
        <i/>
        <color rgb="FFFF0000"/>
      </font>
      <fill>
        <patternFill patternType="solid">
          <bgColor theme="9" tint="0.59996337778862885"/>
        </patternFill>
      </fill>
    </dxf>
    <dxf>
      <font>
        <b/>
        <i/>
        <color rgb="FFFF0000"/>
      </font>
      <fill>
        <patternFill patternType="solid">
          <bgColor theme="9" tint="0.59996337778862885"/>
        </patternFill>
      </fill>
    </dxf>
    <dxf>
      <font>
        <b/>
        <i/>
        <color rgb="FFFF0000"/>
      </font>
      <fill>
        <patternFill patternType="solid">
          <bgColor theme="9" tint="0.59996337778862885"/>
        </patternFill>
      </fill>
    </dxf>
    <dxf>
      <font>
        <b/>
        <i/>
        <color rgb="FFFF0000"/>
      </font>
      <fill>
        <patternFill patternType="solid">
          <bgColor theme="9" tint="0.39994506668294322"/>
        </patternFill>
      </fill>
    </dxf>
    <dxf>
      <font>
        <b/>
        <i/>
        <color rgb="FFFF0000"/>
      </font>
      <fill>
        <patternFill patternType="solid">
          <bgColor theme="9" tint="0.39994506668294322"/>
        </patternFill>
      </fill>
    </dxf>
    <dxf>
      <font>
        <b/>
        <i/>
        <color rgb="FFFF0000"/>
      </font>
      <fill>
        <patternFill patternType="solid">
          <bgColor theme="9" tint="0.39994506668294322"/>
        </patternFill>
      </fill>
    </dxf>
    <dxf>
      <font>
        <b/>
        <i/>
        <color rgb="FFFF0000"/>
      </font>
      <fill>
        <patternFill patternType="solid">
          <bgColor theme="9" tint="0.39994506668294322"/>
        </patternFill>
      </fill>
    </dxf>
    <dxf>
      <font>
        <b/>
        <i/>
        <color rgb="FFFF0000"/>
      </font>
      <fill>
        <patternFill patternType="solid">
          <bgColor theme="9" tint="0.39994506668294322"/>
        </patternFill>
      </fill>
    </dxf>
    <dxf>
      <font>
        <b/>
        <i/>
        <color rgb="FFFF0000"/>
      </font>
      <fill>
        <patternFill>
          <bgColor theme="9" tint="0.39994506668294322"/>
        </patternFill>
      </fill>
      <border>
        <left style="thin">
          <color auto="1"/>
        </left>
        <right style="thin">
          <color auto="1"/>
        </right>
        <top style="thin">
          <color auto="1"/>
        </top>
        <bottom style="thin">
          <color auto="1"/>
        </bottom>
        <vertical/>
        <horizontal/>
      </border>
    </dxf>
    <dxf>
      <font>
        <b/>
        <i/>
        <color rgb="FFFF0000"/>
      </font>
      <fill>
        <patternFill>
          <bgColor rgb="FFFFFFAA"/>
        </patternFill>
      </fill>
    </dxf>
    <dxf>
      <font>
        <b/>
        <i/>
        <color rgb="FFFFFF00"/>
      </font>
      <fill>
        <patternFill>
          <bgColor rgb="FFFF5A5A"/>
        </patternFill>
      </fill>
    </dxf>
    <dxf>
      <font>
        <b/>
        <i/>
        <color rgb="FFFF0000"/>
      </font>
      <fill>
        <patternFill>
          <bgColor theme="5" tint="0.59996337778862885"/>
        </patternFill>
      </fill>
    </dxf>
    <dxf>
      <font>
        <b/>
        <i/>
        <color rgb="FFFF0000"/>
      </font>
      <fill>
        <patternFill>
          <bgColor theme="9" tint="0.59996337778862885"/>
        </patternFill>
      </fill>
    </dxf>
  </dxfs>
  <tableStyles count="0" defaultTableStyle="TableStyleMedium2" defaultPivotStyle="PivotStyleLight16"/>
  <colors>
    <mruColors>
      <color rgb="FFFF6464"/>
      <color rgb="FFFFFFAA"/>
      <color rgb="FFFF5A5A"/>
      <color rgb="FFFFFF5A"/>
      <color rgb="FFFF5B5B"/>
      <color rgb="FFFF7979"/>
      <color rgb="FFFFFF79"/>
      <color rgb="FF85FFBC"/>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a</c:v>
          </c:tx>
          <c:spPr>
            <a:gradFill rotWithShape="1">
              <a:gsLst>
                <a:gs pos="50000">
                  <a:srgbClr val="FFFF00"/>
                </a:gs>
                <a:gs pos="25000">
                  <a:schemeClr val="accent2">
                    <a:lumMod val="75000"/>
                  </a:schemeClr>
                </a:gs>
                <a:gs pos="0">
                  <a:srgbClr val="FF0000"/>
                </a:gs>
                <a:gs pos="75000">
                  <a:srgbClr val="00B050"/>
                </a:gs>
                <a:gs pos="100000">
                  <a:srgbClr val="00B0F0"/>
                </a:gs>
              </a:gsLst>
              <a:lin ang="5400000" scaled="1"/>
            </a:gradFill>
            <a:ln w="19050">
              <a:solidFill>
                <a:schemeClr val="tx1"/>
              </a:solidFill>
            </a:ln>
            <a:effectLst>
              <a:outerShdw blurRad="57150" dist="19050" dir="5400000" algn="ctr" rotWithShape="0">
                <a:srgbClr val="000000">
                  <a:alpha val="63000"/>
                </a:srgbClr>
              </a:outerShdw>
            </a:effectLst>
          </c:spPr>
          <c:invertIfNegative val="0"/>
          <c:cat>
            <c:numLit>
              <c:formatCode>General</c:formatCode>
              <c:ptCount val="1"/>
              <c:pt idx="0">
                <c:v>25</c:v>
              </c:pt>
            </c:numLit>
          </c:cat>
          <c:val>
            <c:numLit>
              <c:formatCode>General</c:formatCode>
              <c:ptCount val="1"/>
              <c:pt idx="0">
                <c:v>25</c:v>
              </c:pt>
            </c:numLit>
          </c:val>
          <c:extLst>
            <c:ext xmlns:c16="http://schemas.microsoft.com/office/drawing/2014/chart" uri="{C3380CC4-5D6E-409C-BE32-E72D297353CC}">
              <c16:uniqueId val="{00000000-47EB-434D-966E-563947001DC1}"/>
            </c:ext>
          </c:extLst>
        </c:ser>
        <c:dLbls>
          <c:showLegendKey val="0"/>
          <c:showVal val="0"/>
          <c:showCatName val="0"/>
          <c:showSerName val="0"/>
          <c:showPercent val="0"/>
          <c:showBubbleSize val="0"/>
        </c:dLbls>
        <c:gapWidth val="150"/>
        <c:overlap val="100"/>
        <c:axId val="1641860160"/>
        <c:axId val="1691405792"/>
      </c:barChart>
      <c:catAx>
        <c:axId val="1641860160"/>
        <c:scaling>
          <c:orientation val="maxMin"/>
        </c:scaling>
        <c:delete val="1"/>
        <c:axPos val="b"/>
        <c:numFmt formatCode="General" sourceLinked="1"/>
        <c:majorTickMark val="none"/>
        <c:minorTickMark val="none"/>
        <c:tickLblPos val="nextTo"/>
        <c:crossAx val="1691405792"/>
        <c:crosses val="autoZero"/>
        <c:auto val="1"/>
        <c:lblAlgn val="ctr"/>
        <c:lblOffset val="100"/>
        <c:noMultiLvlLbl val="0"/>
      </c:catAx>
      <c:valAx>
        <c:axId val="1691405792"/>
        <c:scaling>
          <c:orientation val="minMax"/>
          <c:max val="25"/>
          <c:min val="0"/>
        </c:scaling>
        <c:delete val="0"/>
        <c:axPos val="r"/>
        <c:majorGridlines>
          <c:spPr>
            <a:ln w="15875" cap="flat" cmpd="sng" algn="ctr">
              <a:solidFill>
                <a:schemeClr val="tx1"/>
              </a:solidFill>
              <a:round/>
              <a:headEnd w="sm" len="sm"/>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41860160"/>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a</c:v>
          </c:tx>
          <c:spPr>
            <a:gradFill rotWithShape="1">
              <a:gsLst>
                <a:gs pos="65000">
                  <a:srgbClr val="FFFF00"/>
                </a:gs>
                <a:gs pos="60000">
                  <a:srgbClr val="FFFF00"/>
                </a:gs>
                <a:gs pos="52000">
                  <a:schemeClr val="accent2">
                    <a:lumMod val="75000"/>
                  </a:schemeClr>
                </a:gs>
                <a:gs pos="36000">
                  <a:schemeClr val="accent2">
                    <a:lumMod val="75000"/>
                  </a:schemeClr>
                </a:gs>
                <a:gs pos="10000">
                  <a:srgbClr val="FF0000"/>
                </a:gs>
                <a:gs pos="85000">
                  <a:srgbClr val="00B050"/>
                </a:gs>
                <a:gs pos="100000">
                  <a:srgbClr val="00B0F0"/>
                </a:gs>
              </a:gsLst>
              <a:lin ang="5400000" scaled="1"/>
            </a:gradFill>
            <a:ln w="19050">
              <a:solidFill>
                <a:schemeClr val="tx1"/>
              </a:solidFill>
            </a:ln>
            <a:effectLst>
              <a:outerShdw blurRad="57150" dist="19050" dir="5400000" algn="ctr" rotWithShape="0">
                <a:srgbClr val="000000">
                  <a:alpha val="63000"/>
                </a:srgbClr>
              </a:outerShdw>
            </a:effectLst>
          </c:spPr>
          <c:invertIfNegative val="0"/>
          <c:dPt>
            <c:idx val="0"/>
            <c:invertIfNegative val="0"/>
            <c:bubble3D val="0"/>
            <c:spPr>
              <a:gradFill rotWithShape="1">
                <a:gsLst>
                  <a:gs pos="65000">
                    <a:srgbClr val="FFFF5A"/>
                  </a:gs>
                  <a:gs pos="60000">
                    <a:srgbClr val="FFFF5A"/>
                  </a:gs>
                  <a:gs pos="52000">
                    <a:schemeClr val="accent2">
                      <a:lumMod val="40000"/>
                      <a:lumOff val="60000"/>
                    </a:schemeClr>
                  </a:gs>
                  <a:gs pos="36000">
                    <a:schemeClr val="accent2">
                      <a:lumMod val="60000"/>
                      <a:lumOff val="40000"/>
                    </a:schemeClr>
                  </a:gs>
                  <a:gs pos="10000">
                    <a:srgbClr val="FF5A5A"/>
                  </a:gs>
                  <a:gs pos="85000">
                    <a:schemeClr val="accent6">
                      <a:lumMod val="60000"/>
                      <a:lumOff val="40000"/>
                    </a:schemeClr>
                  </a:gs>
                  <a:gs pos="100000">
                    <a:srgbClr val="92D050"/>
                  </a:gs>
                </a:gsLst>
                <a:lin ang="5400000" scaled="1"/>
              </a:gradFill>
              <a:ln w="19050">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82AC-4FA5-AFC3-0E13FD676A30}"/>
              </c:ext>
            </c:extLst>
          </c:dPt>
          <c:cat>
            <c:numLit>
              <c:formatCode>General</c:formatCode>
              <c:ptCount val="1"/>
              <c:pt idx="0">
                <c:v>25</c:v>
              </c:pt>
            </c:numLit>
          </c:cat>
          <c:val>
            <c:numLit>
              <c:formatCode>General</c:formatCode>
              <c:ptCount val="1"/>
              <c:pt idx="0">
                <c:v>25</c:v>
              </c:pt>
            </c:numLit>
          </c:val>
          <c:extLst>
            <c:ext xmlns:c16="http://schemas.microsoft.com/office/drawing/2014/chart" uri="{C3380CC4-5D6E-409C-BE32-E72D297353CC}">
              <c16:uniqueId val="{00000000-C4EB-4CA8-956E-06063B35542F}"/>
            </c:ext>
          </c:extLst>
        </c:ser>
        <c:dLbls>
          <c:showLegendKey val="0"/>
          <c:showVal val="0"/>
          <c:showCatName val="0"/>
          <c:showSerName val="0"/>
          <c:showPercent val="0"/>
          <c:showBubbleSize val="0"/>
        </c:dLbls>
        <c:gapWidth val="150"/>
        <c:overlap val="100"/>
        <c:axId val="1641860160"/>
        <c:axId val="1691405792"/>
      </c:barChart>
      <c:catAx>
        <c:axId val="1641860160"/>
        <c:scaling>
          <c:orientation val="maxMin"/>
        </c:scaling>
        <c:delete val="1"/>
        <c:axPos val="b"/>
        <c:numFmt formatCode="General" sourceLinked="1"/>
        <c:majorTickMark val="none"/>
        <c:minorTickMark val="none"/>
        <c:tickLblPos val="nextTo"/>
        <c:crossAx val="1691405792"/>
        <c:crosses val="autoZero"/>
        <c:auto val="1"/>
        <c:lblAlgn val="ctr"/>
        <c:lblOffset val="100"/>
        <c:noMultiLvlLbl val="0"/>
      </c:catAx>
      <c:valAx>
        <c:axId val="1691405792"/>
        <c:scaling>
          <c:orientation val="minMax"/>
          <c:max val="25"/>
          <c:min val="0"/>
        </c:scaling>
        <c:delete val="1"/>
        <c:axPos val="r"/>
        <c:numFmt formatCode="General" sourceLinked="1"/>
        <c:majorTickMark val="none"/>
        <c:minorTickMark val="none"/>
        <c:tickLblPos val="nextTo"/>
        <c:crossAx val="1641860160"/>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37881718340609E-2"/>
          <c:y val="3.9059026940942862E-2"/>
          <c:w val="0.75155295704148484"/>
          <c:h val="0.92188194611811425"/>
        </c:manualLayout>
      </c:layout>
      <c:barChart>
        <c:barDir val="col"/>
        <c:grouping val="stacked"/>
        <c:varyColors val="0"/>
        <c:ser>
          <c:idx val="0"/>
          <c:order val="0"/>
          <c:tx>
            <c:v>a</c:v>
          </c:tx>
          <c:spPr>
            <a:noFill/>
            <a:ln w="15875">
              <a:solidFill>
                <a:schemeClr val="tx1"/>
              </a:solidFill>
            </a:ln>
            <a:effectLst/>
          </c:spPr>
          <c:invertIfNegative val="0"/>
          <c:cat>
            <c:numLit>
              <c:formatCode>General</c:formatCode>
              <c:ptCount val="1"/>
              <c:pt idx="0">
                <c:v>25</c:v>
              </c:pt>
            </c:numLit>
          </c:cat>
          <c:val>
            <c:numRef>
              <c:f>'MOD Matrix'!$G$14</c:f>
              <c:numCache>
                <c:formatCode>General</c:formatCode>
                <c:ptCount val="1"/>
                <c:pt idx="0">
                  <c:v>4</c:v>
                </c:pt>
              </c:numCache>
            </c:numRef>
          </c:val>
          <c:extLst>
            <c:ext xmlns:c16="http://schemas.microsoft.com/office/drawing/2014/chart" uri="{C3380CC4-5D6E-409C-BE32-E72D297353CC}">
              <c16:uniqueId val="{00000000-FC33-458C-A524-38D3F6FADDC2}"/>
            </c:ext>
          </c:extLst>
        </c:ser>
        <c:dLbls>
          <c:showLegendKey val="0"/>
          <c:showVal val="0"/>
          <c:showCatName val="0"/>
          <c:showSerName val="0"/>
          <c:showPercent val="0"/>
          <c:showBubbleSize val="0"/>
        </c:dLbls>
        <c:gapWidth val="150"/>
        <c:overlap val="100"/>
        <c:axId val="1641860160"/>
        <c:axId val="1691405792"/>
      </c:barChart>
      <c:catAx>
        <c:axId val="1641860160"/>
        <c:scaling>
          <c:orientation val="maxMin"/>
        </c:scaling>
        <c:delete val="1"/>
        <c:axPos val="b"/>
        <c:numFmt formatCode="General" sourceLinked="1"/>
        <c:majorTickMark val="none"/>
        <c:minorTickMark val="none"/>
        <c:tickLblPos val="nextTo"/>
        <c:crossAx val="1691405792"/>
        <c:crosses val="autoZero"/>
        <c:auto val="1"/>
        <c:lblAlgn val="ctr"/>
        <c:lblOffset val="100"/>
        <c:noMultiLvlLbl val="0"/>
      </c:catAx>
      <c:valAx>
        <c:axId val="1691405792"/>
        <c:scaling>
          <c:orientation val="minMax"/>
          <c:max val="25"/>
        </c:scaling>
        <c:delete val="1"/>
        <c:axPos val="r"/>
        <c:numFmt formatCode="General" sourceLinked="1"/>
        <c:majorTickMark val="none"/>
        <c:minorTickMark val="none"/>
        <c:tickLblPos val="nextTo"/>
        <c:crossAx val="164186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a</c:v>
          </c:tx>
          <c:spPr>
            <a:gradFill rotWithShape="1">
              <a:gsLst>
                <a:gs pos="50000">
                  <a:srgbClr val="FFFF00"/>
                </a:gs>
                <a:gs pos="25000">
                  <a:schemeClr val="accent2">
                    <a:lumMod val="75000"/>
                  </a:schemeClr>
                </a:gs>
                <a:gs pos="0">
                  <a:srgbClr val="FF0000"/>
                </a:gs>
                <a:gs pos="75000">
                  <a:srgbClr val="00B050"/>
                </a:gs>
                <a:gs pos="100000">
                  <a:srgbClr val="00B0F0"/>
                </a:gs>
              </a:gsLst>
              <a:lin ang="5400000" scaled="1"/>
            </a:gradFill>
            <a:ln w="19050">
              <a:solidFill>
                <a:schemeClr val="tx1"/>
              </a:solidFill>
            </a:ln>
            <a:effectLst>
              <a:outerShdw blurRad="57150" dist="19050" dir="5400000" algn="ctr" rotWithShape="0">
                <a:srgbClr val="000000">
                  <a:alpha val="63000"/>
                </a:srgbClr>
              </a:outerShdw>
            </a:effectLst>
          </c:spPr>
          <c:invertIfNegative val="0"/>
          <c:cat>
            <c:numLit>
              <c:formatCode>General</c:formatCode>
              <c:ptCount val="1"/>
              <c:pt idx="0">
                <c:v>25</c:v>
              </c:pt>
            </c:numLit>
          </c:cat>
          <c:val>
            <c:numLit>
              <c:formatCode>General</c:formatCode>
              <c:ptCount val="1"/>
              <c:pt idx="0">
                <c:v>25</c:v>
              </c:pt>
            </c:numLit>
          </c:val>
          <c:extLst>
            <c:ext xmlns:c16="http://schemas.microsoft.com/office/drawing/2014/chart" uri="{C3380CC4-5D6E-409C-BE32-E72D297353CC}">
              <c16:uniqueId val="{00000000-1D41-4E58-B673-28FB7C175977}"/>
            </c:ext>
          </c:extLst>
        </c:ser>
        <c:dLbls>
          <c:showLegendKey val="0"/>
          <c:showVal val="0"/>
          <c:showCatName val="0"/>
          <c:showSerName val="0"/>
          <c:showPercent val="0"/>
          <c:showBubbleSize val="0"/>
        </c:dLbls>
        <c:gapWidth val="150"/>
        <c:overlap val="100"/>
        <c:axId val="1641860160"/>
        <c:axId val="1691405792"/>
      </c:barChart>
      <c:catAx>
        <c:axId val="1641860160"/>
        <c:scaling>
          <c:orientation val="maxMin"/>
        </c:scaling>
        <c:delete val="1"/>
        <c:axPos val="b"/>
        <c:numFmt formatCode="General" sourceLinked="1"/>
        <c:majorTickMark val="none"/>
        <c:minorTickMark val="none"/>
        <c:tickLblPos val="nextTo"/>
        <c:crossAx val="1691405792"/>
        <c:crosses val="autoZero"/>
        <c:auto val="1"/>
        <c:lblAlgn val="ctr"/>
        <c:lblOffset val="100"/>
        <c:noMultiLvlLbl val="0"/>
      </c:catAx>
      <c:valAx>
        <c:axId val="1691405792"/>
        <c:scaling>
          <c:orientation val="minMax"/>
          <c:max val="25"/>
          <c:min val="0"/>
        </c:scaling>
        <c:delete val="0"/>
        <c:axPos val="r"/>
        <c:majorGridlines>
          <c:spPr>
            <a:ln w="15875" cap="flat" cmpd="sng" algn="ctr">
              <a:solidFill>
                <a:schemeClr val="tx1"/>
              </a:solidFill>
              <a:round/>
              <a:headEnd w="sm" len="sm"/>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41860160"/>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a</c:v>
          </c:tx>
          <c:spPr>
            <a:gradFill rotWithShape="1">
              <a:gsLst>
                <a:gs pos="65000">
                  <a:srgbClr val="FFFF00"/>
                </a:gs>
                <a:gs pos="60000">
                  <a:srgbClr val="FFFF00"/>
                </a:gs>
                <a:gs pos="52000">
                  <a:schemeClr val="accent2">
                    <a:lumMod val="75000"/>
                  </a:schemeClr>
                </a:gs>
                <a:gs pos="36000">
                  <a:schemeClr val="accent2">
                    <a:lumMod val="75000"/>
                  </a:schemeClr>
                </a:gs>
                <a:gs pos="10000">
                  <a:srgbClr val="FF0000"/>
                </a:gs>
                <a:gs pos="85000">
                  <a:srgbClr val="00B050"/>
                </a:gs>
                <a:gs pos="100000">
                  <a:srgbClr val="00B0F0"/>
                </a:gs>
              </a:gsLst>
              <a:lin ang="5400000" scaled="1"/>
            </a:gradFill>
            <a:ln w="19050">
              <a:solidFill>
                <a:schemeClr val="tx1"/>
              </a:solidFill>
            </a:ln>
            <a:effectLst>
              <a:outerShdw blurRad="57150" dist="19050" dir="5400000" algn="ctr" rotWithShape="0">
                <a:srgbClr val="000000">
                  <a:alpha val="63000"/>
                </a:srgbClr>
              </a:outerShdw>
            </a:effectLst>
          </c:spPr>
          <c:invertIfNegative val="0"/>
          <c:dPt>
            <c:idx val="0"/>
            <c:invertIfNegative val="0"/>
            <c:bubble3D val="0"/>
            <c:spPr>
              <a:gradFill rotWithShape="1">
                <a:gsLst>
                  <a:gs pos="65000">
                    <a:srgbClr val="FFFF5A"/>
                  </a:gs>
                  <a:gs pos="60000">
                    <a:srgbClr val="FFFF5A"/>
                  </a:gs>
                  <a:gs pos="52000">
                    <a:schemeClr val="accent2">
                      <a:lumMod val="40000"/>
                      <a:lumOff val="60000"/>
                    </a:schemeClr>
                  </a:gs>
                  <a:gs pos="36000">
                    <a:schemeClr val="accent2">
                      <a:lumMod val="60000"/>
                      <a:lumOff val="40000"/>
                    </a:schemeClr>
                  </a:gs>
                  <a:gs pos="10000">
                    <a:srgbClr val="FF5A5A"/>
                  </a:gs>
                  <a:gs pos="85000">
                    <a:schemeClr val="accent6">
                      <a:lumMod val="60000"/>
                      <a:lumOff val="40000"/>
                    </a:schemeClr>
                  </a:gs>
                  <a:gs pos="100000">
                    <a:srgbClr val="92D050"/>
                  </a:gs>
                </a:gsLst>
                <a:lin ang="5400000" scaled="1"/>
              </a:gradFill>
              <a:ln w="19050">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97-4949-B9BF-49F470B075F7}"/>
              </c:ext>
            </c:extLst>
          </c:dPt>
          <c:cat>
            <c:numLit>
              <c:formatCode>General</c:formatCode>
              <c:ptCount val="1"/>
              <c:pt idx="0">
                <c:v>25</c:v>
              </c:pt>
            </c:numLit>
          </c:cat>
          <c:val>
            <c:numLit>
              <c:formatCode>General</c:formatCode>
              <c:ptCount val="1"/>
              <c:pt idx="0">
                <c:v>25</c:v>
              </c:pt>
            </c:numLit>
          </c:val>
          <c:extLst>
            <c:ext xmlns:c16="http://schemas.microsoft.com/office/drawing/2014/chart" uri="{C3380CC4-5D6E-409C-BE32-E72D297353CC}">
              <c16:uniqueId val="{00000002-5297-4949-B9BF-49F470B075F7}"/>
            </c:ext>
          </c:extLst>
        </c:ser>
        <c:dLbls>
          <c:showLegendKey val="0"/>
          <c:showVal val="0"/>
          <c:showCatName val="0"/>
          <c:showSerName val="0"/>
          <c:showPercent val="0"/>
          <c:showBubbleSize val="0"/>
        </c:dLbls>
        <c:gapWidth val="150"/>
        <c:overlap val="100"/>
        <c:axId val="1641860160"/>
        <c:axId val="1691405792"/>
      </c:barChart>
      <c:catAx>
        <c:axId val="1641860160"/>
        <c:scaling>
          <c:orientation val="maxMin"/>
        </c:scaling>
        <c:delete val="1"/>
        <c:axPos val="b"/>
        <c:numFmt formatCode="General" sourceLinked="1"/>
        <c:majorTickMark val="none"/>
        <c:minorTickMark val="none"/>
        <c:tickLblPos val="nextTo"/>
        <c:crossAx val="1691405792"/>
        <c:crosses val="autoZero"/>
        <c:auto val="1"/>
        <c:lblAlgn val="ctr"/>
        <c:lblOffset val="100"/>
        <c:noMultiLvlLbl val="0"/>
      </c:catAx>
      <c:valAx>
        <c:axId val="1691405792"/>
        <c:scaling>
          <c:orientation val="minMax"/>
          <c:max val="25"/>
          <c:min val="0"/>
        </c:scaling>
        <c:delete val="1"/>
        <c:axPos val="r"/>
        <c:numFmt formatCode="General" sourceLinked="1"/>
        <c:majorTickMark val="none"/>
        <c:minorTickMark val="none"/>
        <c:tickLblPos val="nextTo"/>
        <c:crossAx val="1641860160"/>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37881718340609E-2"/>
          <c:y val="3.9059026940942862E-2"/>
          <c:w val="0.75155295704148484"/>
          <c:h val="0.92188194611811425"/>
        </c:manualLayout>
      </c:layout>
      <c:barChart>
        <c:barDir val="col"/>
        <c:grouping val="stacked"/>
        <c:varyColors val="0"/>
        <c:dLbls>
          <c:showLegendKey val="0"/>
          <c:showVal val="0"/>
          <c:showCatName val="0"/>
          <c:showSerName val="0"/>
          <c:showPercent val="0"/>
          <c:showBubbleSize val="0"/>
        </c:dLbls>
        <c:gapWidth val="150"/>
        <c:overlap val="100"/>
        <c:axId val="1641860160"/>
        <c:axId val="1691405792"/>
      </c:barChart>
      <c:catAx>
        <c:axId val="1641860160"/>
        <c:scaling>
          <c:orientation val="maxMin"/>
        </c:scaling>
        <c:delete val="1"/>
        <c:axPos val="b"/>
        <c:numFmt formatCode="General" sourceLinked="1"/>
        <c:majorTickMark val="none"/>
        <c:minorTickMark val="none"/>
        <c:tickLblPos val="nextTo"/>
        <c:crossAx val="1691405792"/>
        <c:crosses val="autoZero"/>
        <c:auto val="1"/>
        <c:lblAlgn val="ctr"/>
        <c:lblOffset val="100"/>
        <c:noMultiLvlLbl val="0"/>
      </c:catAx>
      <c:valAx>
        <c:axId val="1691405792"/>
        <c:scaling>
          <c:orientation val="minMax"/>
          <c:max val="25"/>
        </c:scaling>
        <c:delete val="1"/>
        <c:axPos val="r"/>
        <c:numFmt formatCode="General" sourceLinked="1"/>
        <c:majorTickMark val="none"/>
        <c:minorTickMark val="none"/>
        <c:tickLblPos val="nextTo"/>
        <c:crossAx val="164186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144000</xdr:colOff>
      <xdr:row>3</xdr:row>
      <xdr:rowOff>1059</xdr:rowOff>
    </xdr:from>
    <xdr:to>
      <xdr:col>11</xdr:col>
      <xdr:colOff>1859</xdr:colOff>
      <xdr:row>8</xdr:row>
      <xdr:rowOff>21865</xdr:rowOff>
    </xdr:to>
    <xdr:grpSp>
      <xdr:nvGrpSpPr>
        <xdr:cNvPr id="8" name="Group 7">
          <a:extLst>
            <a:ext uri="{FF2B5EF4-FFF2-40B4-BE49-F238E27FC236}">
              <a16:creationId xmlns:a16="http://schemas.microsoft.com/office/drawing/2014/main" id="{00000000-0008-0000-0000-000008000000}"/>
            </a:ext>
          </a:extLst>
        </xdr:cNvPr>
        <xdr:cNvGrpSpPr/>
      </xdr:nvGrpSpPr>
      <xdr:grpSpPr>
        <a:xfrm>
          <a:off x="9980359816" y="734484"/>
          <a:ext cx="1448534" cy="3830806"/>
          <a:chOff x="10918105164" y="467795"/>
          <a:chExt cx="1579776" cy="3824456"/>
        </a:xfrm>
      </xdr:grpSpPr>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10918487369" y="467795"/>
          <a:ext cx="1134294" cy="382428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10918105884" y="485776"/>
          <a:ext cx="1504951" cy="378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10918105164" y="476251"/>
          <a:ext cx="1579776" cy="3816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78916</xdr:colOff>
      <xdr:row>9</xdr:row>
      <xdr:rowOff>201084</xdr:rowOff>
    </xdr:from>
    <xdr:to>
      <xdr:col>10</xdr:col>
      <xdr:colOff>1068916</xdr:colOff>
      <xdr:row>15</xdr:row>
      <xdr:rowOff>284583</xdr:rowOff>
    </xdr:to>
    <xdr:sp macro="" textlink="$V$4">
      <xdr:nvSpPr>
        <xdr:cNvPr id="2" name="Rectangle: Rounded Corners 1">
          <a:extLst>
            <a:ext uri="{FF2B5EF4-FFF2-40B4-BE49-F238E27FC236}">
              <a16:creationId xmlns:a16="http://schemas.microsoft.com/office/drawing/2014/main" id="{00000000-0008-0000-0000-000002000000}"/>
            </a:ext>
          </a:extLst>
        </xdr:cNvPr>
        <xdr:cNvSpPr/>
      </xdr:nvSpPr>
      <xdr:spPr>
        <a:xfrm>
          <a:off x="11262772750" y="5386917"/>
          <a:ext cx="3276000" cy="1364083"/>
        </a:xfrm>
        <a:prstGeom prst="roundRect">
          <a:avLst>
            <a:gd name="adj" fmla="val 12012"/>
          </a:avLst>
        </a:prstGeom>
        <a:ln w="28575">
          <a:solidFill>
            <a:schemeClr val="bg1">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1" anchor="ctr"/>
        <a:lstStyle/>
        <a:p>
          <a:pPr algn="ctr" rtl="1"/>
          <a:fld id="{695A6244-A11D-4765-AE7A-5A2D284B5766}" type="TxLink">
            <a:rPr lang="ar-AE" sz="2000" b="0" i="0" u="none" strike="noStrike">
              <a:solidFill>
                <a:srgbClr val="000000"/>
              </a:solidFill>
              <a:latin typeface="Arial"/>
              <a:cs typeface="Arial"/>
            </a:rPr>
            <a:pPr algn="ctr" rtl="1"/>
            <a:t>مخاطر ذات تأثير بسيط
لا تتطلب وضع خطط محددة لها</a:t>
          </a:fld>
          <a:endParaRPr lang="ar-AE" sz="2400"/>
        </a:p>
      </xdr:txBody>
    </xdr:sp>
    <xdr:clientData/>
  </xdr:twoCellAnchor>
  <xdr:twoCellAnchor>
    <xdr:from>
      <xdr:col>7</xdr:col>
      <xdr:colOff>95249</xdr:colOff>
      <xdr:row>8</xdr:row>
      <xdr:rowOff>179917</xdr:rowOff>
    </xdr:from>
    <xdr:to>
      <xdr:col>10</xdr:col>
      <xdr:colOff>1058333</xdr:colOff>
      <xdr:row>9</xdr:row>
      <xdr:rowOff>169334</xdr:rowOff>
    </xdr:to>
    <xdr:sp macro="" textlink="">
      <xdr:nvSpPr>
        <xdr:cNvPr id="3" name="مستطيل: زوايا علوية مستديرة 2">
          <a:extLst>
            <a:ext uri="{FF2B5EF4-FFF2-40B4-BE49-F238E27FC236}">
              <a16:creationId xmlns:a16="http://schemas.microsoft.com/office/drawing/2014/main" id="{00000000-0008-0000-0000-000003000000}"/>
            </a:ext>
          </a:extLst>
        </xdr:cNvPr>
        <xdr:cNvSpPr/>
      </xdr:nvSpPr>
      <xdr:spPr>
        <a:xfrm>
          <a:off x="11262783333" y="4773084"/>
          <a:ext cx="3249084" cy="582083"/>
        </a:xfrm>
        <a:prstGeom prst="round2SameRect">
          <a:avLst>
            <a:gd name="adj1" fmla="val 50000"/>
            <a:gd name="adj2" fmla="val 21818"/>
          </a:avLst>
        </a:prstGeom>
        <a:ln w="2857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1" anchor="ctr"/>
        <a:lstStyle/>
        <a:p>
          <a:pPr algn="ctr" rtl="1"/>
          <a:r>
            <a:rPr lang="ar-AE" sz="2400" b="1"/>
            <a:t>شرح معايير الدرجات</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24</xdr:row>
          <xdr:rowOff>19050</xdr:rowOff>
        </xdr:from>
        <xdr:to>
          <xdr:col>1</xdr:col>
          <xdr:colOff>676275</xdr:colOff>
          <xdr:row>37</xdr:row>
          <xdr:rowOff>161925</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oneCellAnchor>
    <xdr:from>
      <xdr:col>1</xdr:col>
      <xdr:colOff>628650</xdr:colOff>
      <xdr:row>28</xdr:row>
      <xdr:rowOff>19049</xdr:rowOff>
    </xdr:from>
    <xdr:ext cx="1876924" cy="3171825"/>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04900" y="5972174"/>
          <a:ext cx="1876924" cy="3171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tx1"/>
              </a:solidFill>
              <a:effectLst/>
              <a:latin typeface="+mn-lt"/>
              <a:ea typeface="+mn-ea"/>
              <a:cs typeface="+mn-cs"/>
            </a:rPr>
            <a:t>20-25 =	</a:t>
          </a:r>
          <a:endParaRPr lang="en-GB" sz="1800">
            <a:solidFill>
              <a:schemeClr val="tx1"/>
            </a:solidFill>
            <a:effectLst/>
            <a:latin typeface="+mn-lt"/>
            <a:ea typeface="+mn-ea"/>
            <a:cs typeface="+mn-cs"/>
          </a:endParaRPr>
        </a:p>
        <a:p>
          <a:r>
            <a:rPr lang="en-US" sz="1800">
              <a:solidFill>
                <a:schemeClr val="tx1"/>
              </a:solidFill>
              <a:effectLst/>
              <a:latin typeface="+mn-lt"/>
              <a:ea typeface="+mn-ea"/>
              <a:cs typeface="+mn-cs"/>
            </a:rPr>
            <a:t>EH: Extreme High.</a:t>
          </a:r>
          <a:endParaRPr lang="en-GB" sz="1800">
            <a:solidFill>
              <a:schemeClr val="tx1"/>
            </a:solidFill>
            <a:effectLst/>
            <a:latin typeface="+mn-lt"/>
            <a:ea typeface="+mn-ea"/>
            <a:cs typeface="+mn-cs"/>
          </a:endParaRPr>
        </a:p>
        <a:p>
          <a:r>
            <a:rPr lang="en-US" sz="1800" b="1">
              <a:solidFill>
                <a:schemeClr val="tx1"/>
              </a:solidFill>
              <a:effectLst/>
              <a:latin typeface="+mn-lt"/>
              <a:ea typeface="+mn-ea"/>
              <a:cs typeface="+mn-cs"/>
            </a:rPr>
            <a:t>12-16 =	</a:t>
          </a:r>
          <a:endParaRPr lang="en-GB" sz="1800">
            <a:solidFill>
              <a:schemeClr val="tx1"/>
            </a:solidFill>
            <a:effectLst/>
            <a:latin typeface="+mn-lt"/>
            <a:ea typeface="+mn-ea"/>
            <a:cs typeface="+mn-cs"/>
          </a:endParaRPr>
        </a:p>
        <a:p>
          <a:r>
            <a:rPr lang="en-US" sz="1800">
              <a:solidFill>
                <a:schemeClr val="tx1"/>
              </a:solidFill>
              <a:effectLst/>
              <a:latin typeface="+mn-lt"/>
              <a:ea typeface="+mn-ea"/>
              <a:cs typeface="+mn-cs"/>
            </a:rPr>
            <a:t>H:  High.</a:t>
          </a:r>
          <a:endParaRPr lang="en-GB" sz="1800">
            <a:solidFill>
              <a:schemeClr val="tx1"/>
            </a:solidFill>
            <a:effectLst/>
            <a:latin typeface="+mn-lt"/>
            <a:ea typeface="+mn-ea"/>
            <a:cs typeface="+mn-cs"/>
          </a:endParaRPr>
        </a:p>
        <a:p>
          <a:r>
            <a:rPr lang="en-US" sz="1800" b="1">
              <a:solidFill>
                <a:schemeClr val="tx1"/>
              </a:solidFill>
              <a:effectLst/>
              <a:latin typeface="+mn-lt"/>
              <a:ea typeface="+mn-ea"/>
              <a:cs typeface="+mn-cs"/>
            </a:rPr>
            <a:t>8-10   =	</a:t>
          </a:r>
          <a:endParaRPr lang="en-GB" sz="1800">
            <a:solidFill>
              <a:schemeClr val="tx1"/>
            </a:solidFill>
            <a:effectLst/>
            <a:latin typeface="+mn-lt"/>
            <a:ea typeface="+mn-ea"/>
            <a:cs typeface="+mn-cs"/>
          </a:endParaRPr>
        </a:p>
        <a:p>
          <a:r>
            <a:rPr lang="en-US" sz="1800">
              <a:solidFill>
                <a:schemeClr val="tx1"/>
              </a:solidFill>
              <a:effectLst/>
              <a:latin typeface="+mn-lt"/>
              <a:ea typeface="+mn-ea"/>
              <a:cs typeface="+mn-cs"/>
            </a:rPr>
            <a:t>M: Medium. </a:t>
          </a:r>
          <a:endParaRPr lang="en-GB" sz="1800">
            <a:solidFill>
              <a:schemeClr val="tx1"/>
            </a:solidFill>
            <a:effectLst/>
            <a:latin typeface="+mn-lt"/>
            <a:ea typeface="+mn-ea"/>
            <a:cs typeface="+mn-cs"/>
          </a:endParaRPr>
        </a:p>
        <a:p>
          <a:r>
            <a:rPr lang="en-US" sz="1800" b="1">
              <a:solidFill>
                <a:schemeClr val="tx1"/>
              </a:solidFill>
              <a:effectLst/>
              <a:latin typeface="+mn-lt"/>
              <a:ea typeface="+mn-ea"/>
              <a:cs typeface="+mn-cs"/>
            </a:rPr>
            <a:t>4-6     =	</a:t>
          </a:r>
          <a:endParaRPr lang="en-GB" sz="1800">
            <a:solidFill>
              <a:schemeClr val="tx1"/>
            </a:solidFill>
            <a:effectLst/>
            <a:latin typeface="+mn-lt"/>
            <a:ea typeface="+mn-ea"/>
            <a:cs typeface="+mn-cs"/>
          </a:endParaRPr>
        </a:p>
        <a:p>
          <a:r>
            <a:rPr lang="en-US" sz="1800">
              <a:solidFill>
                <a:schemeClr val="tx1"/>
              </a:solidFill>
              <a:effectLst/>
              <a:latin typeface="+mn-lt"/>
              <a:ea typeface="+mn-ea"/>
              <a:cs typeface="+mn-cs"/>
            </a:rPr>
            <a:t>L:  Low.</a:t>
          </a:r>
          <a:endParaRPr lang="en-GB" sz="1800">
            <a:solidFill>
              <a:schemeClr val="tx1"/>
            </a:solidFill>
            <a:effectLst/>
            <a:latin typeface="+mn-lt"/>
            <a:ea typeface="+mn-ea"/>
            <a:cs typeface="+mn-cs"/>
          </a:endParaRPr>
        </a:p>
        <a:p>
          <a:r>
            <a:rPr lang="en-US" sz="1800" b="1">
              <a:solidFill>
                <a:schemeClr val="tx1"/>
              </a:solidFill>
              <a:effectLst/>
              <a:latin typeface="+mn-lt"/>
              <a:ea typeface="+mn-ea"/>
              <a:cs typeface="+mn-cs"/>
            </a:rPr>
            <a:t>1-3     =	</a:t>
          </a:r>
          <a:endParaRPr lang="en-GB" sz="1800">
            <a:solidFill>
              <a:schemeClr val="tx1"/>
            </a:solidFill>
            <a:effectLst/>
            <a:latin typeface="+mn-lt"/>
            <a:ea typeface="+mn-ea"/>
            <a:cs typeface="+mn-cs"/>
          </a:endParaRPr>
        </a:p>
        <a:p>
          <a:r>
            <a:rPr lang="en-US" sz="1800">
              <a:solidFill>
                <a:schemeClr val="tx1"/>
              </a:solidFill>
              <a:effectLst/>
              <a:latin typeface="+mn-lt"/>
              <a:ea typeface="+mn-ea"/>
              <a:cs typeface="+mn-cs"/>
            </a:rPr>
            <a:t>VL: Very Low.</a:t>
          </a:r>
          <a:endParaRPr lang="en-GB" sz="1800"/>
        </a:p>
      </xdr:txBody>
    </xdr:sp>
    <xdr:clientData/>
  </xdr:oneCellAnchor>
  <xdr:twoCellAnchor>
    <xdr:from>
      <xdr:col>0</xdr:col>
      <xdr:colOff>107100</xdr:colOff>
      <xdr:row>25</xdr:row>
      <xdr:rowOff>23810</xdr:rowOff>
    </xdr:from>
    <xdr:to>
      <xdr:col>1</xdr:col>
      <xdr:colOff>620648</xdr:colOff>
      <xdr:row>37</xdr:row>
      <xdr:rowOff>202404</xdr:rowOff>
    </xdr:to>
    <xdr:grpSp>
      <xdr:nvGrpSpPr>
        <xdr:cNvPr id="5" name="Group 4">
          <a:extLst>
            <a:ext uri="{FF2B5EF4-FFF2-40B4-BE49-F238E27FC236}">
              <a16:creationId xmlns:a16="http://schemas.microsoft.com/office/drawing/2014/main" id="{00000000-0008-0000-0100-000005000000}"/>
            </a:ext>
          </a:extLst>
        </xdr:cNvPr>
        <xdr:cNvGrpSpPr/>
      </xdr:nvGrpSpPr>
      <xdr:grpSpPr>
        <a:xfrm>
          <a:off x="107100" y="7096123"/>
          <a:ext cx="989798" cy="5345906"/>
          <a:chOff x="10918105884" y="467795"/>
          <a:chExt cx="1582380" cy="3824456"/>
        </a:xfrm>
      </xdr:grpSpPr>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10918487369" y="467795"/>
          <a:ext cx="1134294" cy="382428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10918105884" y="485776"/>
          <a:ext cx="1504951" cy="378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10918108488" y="476251"/>
          <a:ext cx="1579776" cy="3816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238125</xdr:colOff>
      <xdr:row>29</xdr:row>
      <xdr:rowOff>190500</xdr:rowOff>
    </xdr:from>
    <xdr:ext cx="4617931" cy="2283959"/>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38125" y="9191625"/>
          <a:ext cx="4617931" cy="2283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tx1"/>
              </a:solidFill>
              <a:effectLst/>
              <a:latin typeface="+mn-lt"/>
              <a:ea typeface="+mn-ea"/>
              <a:cs typeface="+mn-cs"/>
            </a:rPr>
            <a:t>20-25 =	EH: Extreme High</a:t>
          </a:r>
          <a:endParaRPr lang="en-GB" sz="2800">
            <a:solidFill>
              <a:schemeClr val="tx1"/>
            </a:solidFill>
            <a:effectLst/>
            <a:latin typeface="+mn-lt"/>
            <a:ea typeface="+mn-ea"/>
            <a:cs typeface="+mn-cs"/>
          </a:endParaRPr>
        </a:p>
        <a:p>
          <a:r>
            <a:rPr lang="en-US" sz="2800" b="1">
              <a:solidFill>
                <a:schemeClr val="tx1"/>
              </a:solidFill>
              <a:effectLst/>
              <a:latin typeface="+mn-lt"/>
              <a:ea typeface="+mn-ea"/>
              <a:cs typeface="+mn-cs"/>
            </a:rPr>
            <a:t>12-16 =	H:  High </a:t>
          </a:r>
          <a:endParaRPr lang="en-GB" sz="2800">
            <a:solidFill>
              <a:schemeClr val="tx1"/>
            </a:solidFill>
            <a:effectLst/>
            <a:latin typeface="+mn-lt"/>
            <a:ea typeface="+mn-ea"/>
            <a:cs typeface="+mn-cs"/>
          </a:endParaRPr>
        </a:p>
        <a:p>
          <a:r>
            <a:rPr lang="en-US" sz="2800" b="1">
              <a:solidFill>
                <a:schemeClr val="tx1"/>
              </a:solidFill>
              <a:effectLst/>
              <a:latin typeface="+mn-lt"/>
              <a:ea typeface="+mn-ea"/>
              <a:cs typeface="+mn-cs"/>
            </a:rPr>
            <a:t>8-10   =	M: Medium </a:t>
          </a:r>
          <a:endParaRPr lang="en-GB" sz="2800">
            <a:solidFill>
              <a:schemeClr val="tx1"/>
            </a:solidFill>
            <a:effectLst/>
            <a:latin typeface="+mn-lt"/>
            <a:ea typeface="+mn-ea"/>
            <a:cs typeface="+mn-cs"/>
          </a:endParaRPr>
        </a:p>
        <a:p>
          <a:r>
            <a:rPr lang="en-US" sz="2800" b="1">
              <a:solidFill>
                <a:schemeClr val="tx1"/>
              </a:solidFill>
              <a:effectLst/>
              <a:latin typeface="+mn-lt"/>
              <a:ea typeface="+mn-ea"/>
              <a:cs typeface="+mn-cs"/>
            </a:rPr>
            <a:t>4-6     =	L:  Low </a:t>
          </a:r>
          <a:endParaRPr lang="en-GB" sz="2800">
            <a:solidFill>
              <a:schemeClr val="tx1"/>
            </a:solidFill>
            <a:effectLst/>
            <a:latin typeface="+mn-lt"/>
            <a:ea typeface="+mn-ea"/>
            <a:cs typeface="+mn-cs"/>
          </a:endParaRPr>
        </a:p>
        <a:p>
          <a:r>
            <a:rPr lang="en-US" sz="2800" b="1">
              <a:solidFill>
                <a:schemeClr val="tx1"/>
              </a:solidFill>
              <a:effectLst/>
              <a:latin typeface="+mn-lt"/>
              <a:ea typeface="+mn-ea"/>
              <a:cs typeface="+mn-cs"/>
            </a:rPr>
            <a:t>1-3     =	VL: Very Low</a:t>
          </a:r>
          <a:endParaRPr lang="en-GB" sz="28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V17"/>
  <sheetViews>
    <sheetView rightToLeft="1" view="pageBreakPreview" zoomScaleNormal="90" zoomScaleSheetLayoutView="100" workbookViewId="0">
      <selection activeCell="G14" sqref="G14:G16"/>
    </sheetView>
  </sheetViews>
  <sheetFormatPr defaultRowHeight="15" x14ac:dyDescent="0.25"/>
  <cols>
    <col min="1" max="1" width="1.28515625" customWidth="1"/>
    <col min="2" max="2" width="7" customWidth="1"/>
    <col min="3" max="7" width="15.7109375" customWidth="1"/>
    <col min="8" max="8" width="13.28515625" customWidth="1"/>
    <col min="9" max="9" width="7.7109375" customWidth="1"/>
    <col min="11" max="11" width="14.7109375" customWidth="1"/>
    <col min="21" max="21" width="9" customWidth="1"/>
    <col min="22" max="22" width="8.42578125" style="34" hidden="1" customWidth="1"/>
  </cols>
  <sheetData>
    <row r="1" spans="2:22" ht="6" customHeight="1" thickBot="1" x14ac:dyDescent="0.3"/>
    <row r="2" spans="2:22" ht="42" customHeight="1" thickBot="1" x14ac:dyDescent="0.3">
      <c r="B2" s="57"/>
      <c r="C2" s="105" t="s">
        <v>13</v>
      </c>
      <c r="D2" s="106"/>
      <c r="E2" s="106"/>
      <c r="F2" s="106"/>
      <c r="G2" s="106"/>
      <c r="H2" s="106"/>
      <c r="I2" s="106"/>
      <c r="J2" s="106"/>
      <c r="K2" s="107"/>
      <c r="L2" s="58"/>
    </row>
    <row r="3" spans="2:22" ht="9.75" customHeight="1" thickBot="1" x14ac:dyDescent="0.3">
      <c r="B3" s="59"/>
      <c r="C3" s="36"/>
      <c r="D3" s="36"/>
      <c r="E3" s="36"/>
      <c r="F3" s="36"/>
      <c r="G3" s="36"/>
      <c r="H3" s="36"/>
      <c r="I3" s="36"/>
      <c r="J3" s="36"/>
      <c r="K3" s="36"/>
      <c r="L3" s="60"/>
    </row>
    <row r="4" spans="2:22" ht="60" customHeight="1" x14ac:dyDescent="0.25">
      <c r="B4" s="59"/>
      <c r="C4" s="9">
        <v>25</v>
      </c>
      <c r="D4" s="10">
        <v>20</v>
      </c>
      <c r="E4" s="11">
        <v>15</v>
      </c>
      <c r="F4" s="12">
        <v>10</v>
      </c>
      <c r="G4" s="13">
        <v>5</v>
      </c>
      <c r="H4" s="7" t="s">
        <v>12</v>
      </c>
      <c r="I4" s="108" t="s">
        <v>14</v>
      </c>
      <c r="J4" s="36"/>
      <c r="K4" s="36"/>
      <c r="L4" s="60"/>
      <c r="V4" s="33" t="str">
        <f>IFERROR(INDEX(fivecategree,الجداول!$K11,COLUMNS(الجداول!$B11:'الجداول'!C11)),"")</f>
        <v>مخاطر ذات تأثير بسيط
لا تتطلب وضع خطط محددة لها</v>
      </c>
    </row>
    <row r="5" spans="2:22" ht="60" customHeight="1" x14ac:dyDescent="0.25">
      <c r="B5" s="59"/>
      <c r="C5" s="14">
        <v>20</v>
      </c>
      <c r="D5" s="15">
        <v>16</v>
      </c>
      <c r="E5" s="15">
        <v>12</v>
      </c>
      <c r="F5" s="16">
        <v>8</v>
      </c>
      <c r="G5" s="17">
        <v>4</v>
      </c>
      <c r="H5" s="7" t="s">
        <v>11</v>
      </c>
      <c r="I5" s="108"/>
      <c r="J5" s="61"/>
      <c r="K5" s="36"/>
      <c r="L5" s="60"/>
      <c r="N5" s="2"/>
    </row>
    <row r="6" spans="2:22" ht="60" customHeight="1" x14ac:dyDescent="0.25">
      <c r="B6" s="59"/>
      <c r="C6" s="18">
        <v>15</v>
      </c>
      <c r="D6" s="15">
        <v>12</v>
      </c>
      <c r="E6" s="16">
        <v>9</v>
      </c>
      <c r="F6" s="19">
        <v>6</v>
      </c>
      <c r="G6" s="20">
        <v>3</v>
      </c>
      <c r="H6" s="7" t="s">
        <v>10</v>
      </c>
      <c r="I6" s="108"/>
      <c r="J6" s="61"/>
      <c r="K6" s="36"/>
      <c r="L6" s="60"/>
      <c r="N6" s="2"/>
    </row>
    <row r="7" spans="2:22" ht="60" customHeight="1" x14ac:dyDescent="0.25">
      <c r="B7" s="59"/>
      <c r="C7" s="21">
        <v>10</v>
      </c>
      <c r="D7" s="16">
        <v>8</v>
      </c>
      <c r="E7" s="19">
        <v>6</v>
      </c>
      <c r="F7" s="19">
        <v>4</v>
      </c>
      <c r="G7" s="20">
        <v>2</v>
      </c>
      <c r="H7" s="7" t="s">
        <v>9</v>
      </c>
      <c r="I7" s="108"/>
      <c r="J7" s="61"/>
      <c r="K7" s="36"/>
      <c r="L7" s="60"/>
    </row>
    <row r="8" spans="2:22" ht="60" customHeight="1" thickBot="1" x14ac:dyDescent="0.3">
      <c r="B8" s="59"/>
      <c r="C8" s="22">
        <v>5</v>
      </c>
      <c r="D8" s="23">
        <v>4</v>
      </c>
      <c r="E8" s="24">
        <v>3</v>
      </c>
      <c r="F8" s="24">
        <v>2</v>
      </c>
      <c r="G8" s="25">
        <v>1</v>
      </c>
      <c r="H8" s="7" t="s">
        <v>8</v>
      </c>
      <c r="I8" s="108"/>
      <c r="J8" s="61"/>
      <c r="K8" s="36"/>
      <c r="L8" s="60"/>
      <c r="P8" s="26"/>
    </row>
    <row r="9" spans="2:22" ht="46.5" customHeight="1" x14ac:dyDescent="0.25">
      <c r="B9" s="59"/>
      <c r="C9" s="8" t="s">
        <v>25</v>
      </c>
      <c r="D9" s="8" t="s">
        <v>24</v>
      </c>
      <c r="E9" s="8" t="s">
        <v>7</v>
      </c>
      <c r="F9" s="8" t="s">
        <v>6</v>
      </c>
      <c r="G9" s="8" t="s">
        <v>5</v>
      </c>
      <c r="H9" s="27"/>
      <c r="I9" s="27"/>
      <c r="J9" s="36"/>
      <c r="K9" s="36"/>
      <c r="L9" s="60"/>
    </row>
    <row r="10" spans="2:22" ht="35.25" customHeight="1" x14ac:dyDescent="0.25">
      <c r="B10" s="59"/>
      <c r="C10" s="109" t="s">
        <v>3</v>
      </c>
      <c r="D10" s="109"/>
      <c r="E10" s="109"/>
      <c r="F10" s="109"/>
      <c r="G10" s="109"/>
      <c r="H10" s="27"/>
      <c r="I10" s="32"/>
      <c r="J10" s="32"/>
      <c r="K10" s="32"/>
      <c r="L10" s="60"/>
    </row>
    <row r="11" spans="2:22" ht="9.75" customHeight="1" thickBot="1" x14ac:dyDescent="0.3">
      <c r="B11" s="59"/>
      <c r="C11" s="36"/>
      <c r="D11" s="36"/>
      <c r="E11" s="36"/>
      <c r="F11" s="36"/>
      <c r="G11" s="36"/>
      <c r="H11" s="36"/>
      <c r="I11" s="32"/>
      <c r="J11" s="32"/>
      <c r="K11" s="32"/>
      <c r="L11" s="60"/>
    </row>
    <row r="12" spans="2:22" ht="24" customHeight="1" thickBot="1" x14ac:dyDescent="0.3">
      <c r="B12" s="59"/>
      <c r="C12" s="99" t="s">
        <v>15</v>
      </c>
      <c r="D12" s="100"/>
      <c r="E12" s="101"/>
      <c r="F12" s="3" t="s">
        <v>0</v>
      </c>
      <c r="G12" s="44" t="s">
        <v>1</v>
      </c>
      <c r="H12" s="36"/>
      <c r="I12" s="32"/>
      <c r="J12" s="32"/>
      <c r="K12" s="32"/>
      <c r="L12" s="60"/>
    </row>
    <row r="13" spans="2:22" ht="3" customHeight="1" thickBot="1" x14ac:dyDescent="0.3">
      <c r="B13" s="59"/>
      <c r="C13" s="36"/>
      <c r="D13" s="36"/>
      <c r="E13" s="36"/>
      <c r="F13" s="62"/>
      <c r="G13" s="36"/>
      <c r="H13" s="36"/>
      <c r="I13" s="32"/>
      <c r="J13" s="32"/>
      <c r="K13" s="32"/>
      <c r="L13" s="60"/>
    </row>
    <row r="14" spans="2:22" ht="25.15" customHeight="1" thickBot="1" x14ac:dyDescent="0.3">
      <c r="B14" s="59"/>
      <c r="C14" s="96" t="s">
        <v>4</v>
      </c>
      <c r="D14" s="97"/>
      <c r="E14" s="98"/>
      <c r="F14" s="4">
        <v>2</v>
      </c>
      <c r="G14" s="102">
        <f>IF(AND(F14*F16&gt;=1,F14*F16&lt;=25),F14*F16,"-")</f>
        <v>4</v>
      </c>
      <c r="H14" s="36"/>
      <c r="I14" s="32"/>
      <c r="J14" s="32"/>
      <c r="K14" s="32"/>
      <c r="L14" s="60"/>
    </row>
    <row r="15" spans="2:22" ht="3.6" customHeight="1" thickBot="1" x14ac:dyDescent="0.3">
      <c r="B15" s="59"/>
      <c r="C15" s="36"/>
      <c r="D15" s="36"/>
      <c r="E15" s="36"/>
      <c r="F15" s="63"/>
      <c r="G15" s="103"/>
      <c r="H15" s="36"/>
      <c r="I15" s="32"/>
      <c r="J15" s="32"/>
      <c r="K15" s="32"/>
      <c r="L15" s="60"/>
    </row>
    <row r="16" spans="2:22" ht="23.45" customHeight="1" thickBot="1" x14ac:dyDescent="0.3">
      <c r="B16" s="59"/>
      <c r="C16" s="96" t="s">
        <v>3</v>
      </c>
      <c r="D16" s="97"/>
      <c r="E16" s="98"/>
      <c r="F16" s="4">
        <v>2</v>
      </c>
      <c r="G16" s="104"/>
      <c r="H16" s="36"/>
      <c r="I16" s="32"/>
      <c r="J16" s="32"/>
      <c r="K16" s="32"/>
      <c r="L16" s="60"/>
    </row>
    <row r="17" spans="2:12" ht="15.75" thickBot="1" x14ac:dyDescent="0.3">
      <c r="B17" s="64"/>
      <c r="C17" s="65"/>
      <c r="D17" s="65"/>
      <c r="E17" s="65"/>
      <c r="F17" s="65"/>
      <c r="G17" s="65"/>
      <c r="H17" s="65"/>
      <c r="I17" s="65"/>
      <c r="J17" s="65"/>
      <c r="K17" s="65"/>
      <c r="L17" s="66"/>
    </row>
  </sheetData>
  <mergeCells count="7">
    <mergeCell ref="C14:E14"/>
    <mergeCell ref="C16:E16"/>
    <mergeCell ref="C12:E12"/>
    <mergeCell ref="G14:G16"/>
    <mergeCell ref="C2:K2"/>
    <mergeCell ref="I4:I8"/>
    <mergeCell ref="C10:G10"/>
  </mergeCells>
  <conditionalFormatting sqref="G14:G16">
    <cfRule type="expression" dxfId="54" priority="29">
      <formula>IF(AND(G14&gt;=4,G14&lt;=6),G14,"")</formula>
    </cfRule>
    <cfRule type="expression" dxfId="53" priority="30">
      <formula>IF(AND(G14&gt;=12,G14&lt;=16),G14,"")</formula>
    </cfRule>
    <cfRule type="expression" dxfId="52" priority="37">
      <formula>IF(AND(G14&gt;=20,G14&lt;=25),G14,"")</formula>
    </cfRule>
    <cfRule type="expression" dxfId="51" priority="38">
      <formula>IF(AND(G14&gt;=8,G14&lt;=10),G14,"")</formula>
    </cfRule>
    <cfRule type="expression" dxfId="50" priority="39">
      <formula>IF(AND(G14&gt;=1,G14&lt;=3),G14,"")</formula>
    </cfRule>
  </conditionalFormatting>
  <conditionalFormatting sqref="F8">
    <cfRule type="expression" dxfId="49" priority="40">
      <formula>IF(AND($F$14=1,$G$14=$F$8),1,0)</formula>
    </cfRule>
  </conditionalFormatting>
  <conditionalFormatting sqref="E8">
    <cfRule type="expression" dxfId="48" priority="41">
      <formula>IF(AND($F$14=1,$G$14=$E$8),1,0)</formula>
    </cfRule>
  </conditionalFormatting>
  <conditionalFormatting sqref="G8">
    <cfRule type="expression" dxfId="47" priority="42">
      <formula>IF(AND($F$14=1,$G$14=$G$8),1,0)</formula>
    </cfRule>
  </conditionalFormatting>
  <conditionalFormatting sqref="G7">
    <cfRule type="expression" dxfId="46" priority="43">
      <formula>IF(AND($F$16=1,$G$14=$G$7),1,0)</formula>
    </cfRule>
  </conditionalFormatting>
  <conditionalFormatting sqref="G6">
    <cfRule type="expression" dxfId="45" priority="44">
      <formula>IF(AND($F$16=1,$G$14=$G$6),1,0)</formula>
    </cfRule>
  </conditionalFormatting>
  <conditionalFormatting sqref="D8">
    <cfRule type="expression" dxfId="44" priority="45">
      <formula>IF(AND($F$14=1,$G$14=$D$8),1,0)</formula>
    </cfRule>
  </conditionalFormatting>
  <conditionalFormatting sqref="C8">
    <cfRule type="expression" dxfId="43" priority="46">
      <formula>IF(AND($F$14=1,$G$14=$C$8),1,0)</formula>
    </cfRule>
  </conditionalFormatting>
  <conditionalFormatting sqref="G5">
    <cfRule type="expression" dxfId="42" priority="47">
      <formula>IF(AND($F$16=1,$G$14=$G$5),1,0)</formula>
    </cfRule>
  </conditionalFormatting>
  <conditionalFormatting sqref="G4">
    <cfRule type="expression" dxfId="41" priority="48">
      <formula>IF(AND($F$16=1,$G$14=$G$4),1,0)</formula>
    </cfRule>
  </conditionalFormatting>
  <conditionalFormatting sqref="F6">
    <cfRule type="expression" dxfId="40" priority="49">
      <formula>IF(AND($F$16=2,$G$14=$F$6),1,0)</formula>
    </cfRule>
  </conditionalFormatting>
  <conditionalFormatting sqref="F7">
    <cfRule type="expression" dxfId="39" priority="50">
      <formula>IF(AND($F$16=2,$G$14=$F$7),1,0)</formula>
    </cfRule>
  </conditionalFormatting>
  <conditionalFormatting sqref="E7">
    <cfRule type="expression" dxfId="38" priority="51">
      <formula>IF(AND($F$16=3,$G$14=$E$7),1,0)</formula>
    </cfRule>
  </conditionalFormatting>
  <conditionalFormatting sqref="D7">
    <cfRule type="expression" dxfId="37" priority="52">
      <formula>IF(AND($F$16=4,$G$14=$D$7),1,0)</formula>
    </cfRule>
  </conditionalFormatting>
  <conditionalFormatting sqref="C7">
    <cfRule type="expression" dxfId="36" priority="53">
      <formula>IF(AND($F$16=5,$G$14=$C$7),1,0)</formula>
    </cfRule>
  </conditionalFormatting>
  <conditionalFormatting sqref="E6">
    <cfRule type="expression" dxfId="35" priority="54">
      <formula>IF(AND($F$16=3,$G$14=$E$6),1,0)</formula>
    </cfRule>
  </conditionalFormatting>
  <conditionalFormatting sqref="F5">
    <cfRule type="expression" dxfId="34" priority="55">
      <formula>IF(AND($F$16=2,$G$14=$F$5),1,0)</formula>
    </cfRule>
  </conditionalFormatting>
  <conditionalFormatting sqref="F4">
    <cfRule type="expression" dxfId="33" priority="56">
      <formula>IF(AND($F$16=2,$G$14=$F$4),1,0)</formula>
    </cfRule>
  </conditionalFormatting>
  <conditionalFormatting sqref="E5">
    <cfRule type="expression" dxfId="32" priority="57">
      <formula>IF(AND($F$16=3,$G$14=$E$5),1,0)</formula>
    </cfRule>
  </conditionalFormatting>
  <conditionalFormatting sqref="E4">
    <cfRule type="expression" dxfId="31" priority="58">
      <formula>IF(AND($F$16=3,$G$14=$E$4),1,0)</formula>
    </cfRule>
  </conditionalFormatting>
  <conditionalFormatting sqref="D5">
    <cfRule type="expression" dxfId="30" priority="59">
      <formula>IF(AND($F$16=4,$G$14=$D$5),1,0)</formula>
    </cfRule>
  </conditionalFormatting>
  <conditionalFormatting sqref="D6">
    <cfRule type="expression" dxfId="29" priority="60">
      <formula>IF(AND($F$16=4,$G$14=$D$6),1,0)</formula>
    </cfRule>
  </conditionalFormatting>
  <conditionalFormatting sqref="C6">
    <cfRule type="expression" dxfId="28" priority="61">
      <formula>IF(AND($F$16=5,$G$14=$C$6),1,0)</formula>
    </cfRule>
  </conditionalFormatting>
  <conditionalFormatting sqref="D4">
    <cfRule type="expression" dxfId="27" priority="62">
      <formula>IF(AND($F$16=4,$G$14=$D$4),1,0)</formula>
    </cfRule>
  </conditionalFormatting>
  <conditionalFormatting sqref="C4">
    <cfRule type="expression" dxfId="26" priority="63">
      <formula>IF(AND($F$16=5,$G$14=$C$4),1,0)</formula>
    </cfRule>
  </conditionalFormatting>
  <conditionalFormatting sqref="C5">
    <cfRule type="expression" dxfId="25" priority="64">
      <formula>IF(AND($F$16=5,$G$14=$C$5),1,0)</formula>
    </cfRule>
  </conditionalFormatting>
  <pageMargins left="0.7" right="0.7" top="0.75" bottom="0.75" header="0.3" footer="0.3"/>
  <pageSetup paperSize="9" scale="93" orientation="landscape" r:id="rId1"/>
  <headerFooter>
    <oddHeader>&amp;C&amp;"-,Bold"&amp;14&amp;Uمحظور</oddHeader>
    <oddFooter>&amp;C&amp;"-,Bold"&amp;14&amp;Uمحظور</oddFooter>
  </headerFooter>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error="الرجاء إختيار رقم من 1 إلى 5" xr:uid="{E8F27185-D8B5-48C3-9908-661619DDC0D6}">
          <x14:formula1>
            <xm:f>الجداول!$B$3:$B$7</xm:f>
          </x14:formula1>
          <xm:sqref>F14</xm:sqref>
        </x14:dataValidation>
        <x14:dataValidation type="list" allowBlank="1" showInputMessage="1" showErrorMessage="1" error="الرجاء إدخال رقم من 1 إلى 5" xr:uid="{88C9121D-771A-408E-A8CC-667A7944DE42}">
          <x14:formula1>
            <xm:f>الجداول!$B$3:$B$7</xm:f>
          </x14:formula1>
          <xm:sqref>F16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D051F-1D03-4BF1-AF57-CBA826C91CAA}">
  <sheetPr>
    <pageSetUpPr fitToPage="1"/>
  </sheetPr>
  <dimension ref="A1:H39"/>
  <sheetViews>
    <sheetView view="pageBreakPreview" topLeftCell="A13" zoomScale="80" zoomScaleNormal="100" zoomScaleSheetLayoutView="80" workbookViewId="0">
      <selection activeCell="H2" sqref="H2"/>
    </sheetView>
  </sheetViews>
  <sheetFormatPr defaultRowHeight="15" x14ac:dyDescent="0.25"/>
  <cols>
    <col min="1" max="1" width="7.140625" customWidth="1"/>
    <col min="2" max="2" width="30.140625" customWidth="1"/>
    <col min="3" max="3" width="8.42578125" customWidth="1"/>
    <col min="4" max="8" width="19.42578125" customWidth="1"/>
  </cols>
  <sheetData>
    <row r="1" spans="1:8" ht="7.5" customHeight="1" x14ac:dyDescent="0.25"/>
    <row r="2" spans="1:8" ht="7.5" customHeight="1" thickBot="1" x14ac:dyDescent="0.3"/>
    <row r="3" spans="1:8" ht="24" thickTop="1" x14ac:dyDescent="0.25">
      <c r="A3" s="152" t="s">
        <v>46</v>
      </c>
      <c r="B3" s="153"/>
      <c r="C3" s="153"/>
      <c r="D3" s="153"/>
      <c r="E3" s="153"/>
      <c r="F3" s="153"/>
      <c r="G3" s="153"/>
      <c r="H3" s="154"/>
    </row>
    <row r="4" spans="1:8" ht="24" thickBot="1" x14ac:dyDescent="0.3">
      <c r="A4" s="155" t="s">
        <v>47</v>
      </c>
      <c r="B4" s="156"/>
      <c r="C4" s="156"/>
      <c r="D4" s="156"/>
      <c r="E4" s="156"/>
      <c r="F4" s="156"/>
      <c r="G4" s="156"/>
      <c r="H4" s="157"/>
    </row>
    <row r="5" spans="1:8" ht="18" x14ac:dyDescent="0.25">
      <c r="A5" s="113" t="s">
        <v>135</v>
      </c>
      <c r="B5" s="70" t="s">
        <v>48</v>
      </c>
      <c r="C5" s="134">
        <v>5</v>
      </c>
      <c r="D5" s="116">
        <v>5</v>
      </c>
      <c r="E5" s="143">
        <v>10</v>
      </c>
      <c r="F5" s="137">
        <v>15</v>
      </c>
      <c r="G5" s="158">
        <v>20</v>
      </c>
      <c r="H5" s="170">
        <v>25</v>
      </c>
    </row>
    <row r="6" spans="1:8" ht="18.75" x14ac:dyDescent="0.25">
      <c r="A6" s="114"/>
      <c r="B6" s="71" t="s">
        <v>49</v>
      </c>
      <c r="C6" s="135"/>
      <c r="D6" s="117"/>
      <c r="E6" s="144"/>
      <c r="F6" s="138"/>
      <c r="G6" s="159"/>
      <c r="H6" s="171"/>
    </row>
    <row r="7" spans="1:8" ht="37.5" x14ac:dyDescent="0.25">
      <c r="A7" s="114"/>
      <c r="B7" s="71" t="s">
        <v>130</v>
      </c>
      <c r="C7" s="135"/>
      <c r="D7" s="117"/>
      <c r="E7" s="144"/>
      <c r="F7" s="138"/>
      <c r="G7" s="159"/>
      <c r="H7" s="171"/>
    </row>
    <row r="8" spans="1:8" ht="38.25" thickBot="1" x14ac:dyDescent="0.3">
      <c r="A8" s="114"/>
      <c r="B8" s="67" t="s">
        <v>50</v>
      </c>
      <c r="C8" s="136"/>
      <c r="D8" s="118"/>
      <c r="E8" s="145"/>
      <c r="F8" s="139"/>
      <c r="G8" s="160"/>
      <c r="H8" s="172"/>
    </row>
    <row r="9" spans="1:8" ht="18" x14ac:dyDescent="0.25">
      <c r="A9" s="114"/>
      <c r="B9" s="70" t="s">
        <v>51</v>
      </c>
      <c r="C9" s="134">
        <v>4</v>
      </c>
      <c r="D9" s="116">
        <v>4</v>
      </c>
      <c r="E9" s="143">
        <v>8</v>
      </c>
      <c r="F9" s="137">
        <v>12</v>
      </c>
      <c r="G9" s="137">
        <v>16</v>
      </c>
      <c r="H9" s="170">
        <v>20</v>
      </c>
    </row>
    <row r="10" spans="1:8" ht="18.75" x14ac:dyDescent="0.25">
      <c r="A10" s="114"/>
      <c r="B10" s="71" t="s">
        <v>52</v>
      </c>
      <c r="C10" s="135"/>
      <c r="D10" s="117"/>
      <c r="E10" s="144"/>
      <c r="F10" s="138"/>
      <c r="G10" s="138"/>
      <c r="H10" s="171"/>
    </row>
    <row r="11" spans="1:8" ht="18.75" x14ac:dyDescent="0.25">
      <c r="A11" s="114"/>
      <c r="B11" s="71" t="s">
        <v>131</v>
      </c>
      <c r="C11" s="135"/>
      <c r="D11" s="117"/>
      <c r="E11" s="144"/>
      <c r="F11" s="138"/>
      <c r="G11" s="138"/>
      <c r="H11" s="171"/>
    </row>
    <row r="12" spans="1:8" ht="39.75" customHeight="1" thickBot="1" x14ac:dyDescent="0.3">
      <c r="A12" s="114"/>
      <c r="B12" s="67" t="s">
        <v>53</v>
      </c>
      <c r="C12" s="136"/>
      <c r="D12" s="118"/>
      <c r="E12" s="145"/>
      <c r="F12" s="139"/>
      <c r="G12" s="139"/>
      <c r="H12" s="172"/>
    </row>
    <row r="13" spans="1:8" ht="18" x14ac:dyDescent="0.25">
      <c r="A13" s="114"/>
      <c r="B13" s="70" t="s">
        <v>54</v>
      </c>
      <c r="C13" s="134">
        <v>3</v>
      </c>
      <c r="D13" s="164">
        <v>3</v>
      </c>
      <c r="E13" s="116">
        <v>6</v>
      </c>
      <c r="F13" s="143">
        <v>9</v>
      </c>
      <c r="G13" s="137">
        <v>12</v>
      </c>
      <c r="H13" s="140">
        <v>15</v>
      </c>
    </row>
    <row r="14" spans="1:8" ht="18.75" x14ac:dyDescent="0.25">
      <c r="A14" s="114"/>
      <c r="B14" s="71" t="s">
        <v>55</v>
      </c>
      <c r="C14" s="135"/>
      <c r="D14" s="165"/>
      <c r="E14" s="117"/>
      <c r="F14" s="144"/>
      <c r="G14" s="138"/>
      <c r="H14" s="141"/>
    </row>
    <row r="15" spans="1:8" ht="37.5" x14ac:dyDescent="0.25">
      <c r="A15" s="114"/>
      <c r="B15" s="71" t="s">
        <v>132</v>
      </c>
      <c r="C15" s="135"/>
      <c r="D15" s="165"/>
      <c r="E15" s="117"/>
      <c r="F15" s="144"/>
      <c r="G15" s="138"/>
      <c r="H15" s="141"/>
    </row>
    <row r="16" spans="1:8" ht="35.25" customHeight="1" thickBot="1" x14ac:dyDescent="0.3">
      <c r="A16" s="114"/>
      <c r="B16" s="67" t="s">
        <v>56</v>
      </c>
      <c r="C16" s="136"/>
      <c r="D16" s="166"/>
      <c r="E16" s="118"/>
      <c r="F16" s="145"/>
      <c r="G16" s="139"/>
      <c r="H16" s="142"/>
    </row>
    <row r="17" spans="1:8" ht="18" x14ac:dyDescent="0.25">
      <c r="A17" s="114"/>
      <c r="B17" s="70" t="s">
        <v>57</v>
      </c>
      <c r="C17" s="134">
        <v>2</v>
      </c>
      <c r="D17" s="164">
        <v>2</v>
      </c>
      <c r="E17" s="116">
        <v>4</v>
      </c>
      <c r="F17" s="116">
        <v>6</v>
      </c>
      <c r="G17" s="143">
        <v>8</v>
      </c>
      <c r="H17" s="173">
        <v>10</v>
      </c>
    </row>
    <row r="18" spans="1:8" ht="18.75" x14ac:dyDescent="0.25">
      <c r="A18" s="114"/>
      <c r="B18" s="71" t="s">
        <v>58</v>
      </c>
      <c r="C18" s="135"/>
      <c r="D18" s="165"/>
      <c r="E18" s="117"/>
      <c r="F18" s="117"/>
      <c r="G18" s="144"/>
      <c r="H18" s="174"/>
    </row>
    <row r="19" spans="1:8" ht="18.75" x14ac:dyDescent="0.25">
      <c r="A19" s="114"/>
      <c r="B19" s="71" t="s">
        <v>133</v>
      </c>
      <c r="C19" s="135"/>
      <c r="D19" s="165"/>
      <c r="E19" s="117"/>
      <c r="F19" s="117"/>
      <c r="G19" s="144"/>
      <c r="H19" s="174"/>
    </row>
    <row r="20" spans="1:8" ht="19.5" thickBot="1" x14ac:dyDescent="0.3">
      <c r="A20" s="114"/>
      <c r="B20" s="67" t="s">
        <v>59</v>
      </c>
      <c r="C20" s="136"/>
      <c r="D20" s="166"/>
      <c r="E20" s="118"/>
      <c r="F20" s="118"/>
      <c r="G20" s="145"/>
      <c r="H20" s="175"/>
    </row>
    <row r="21" spans="1:8" ht="18" x14ac:dyDescent="0.25">
      <c r="A21" s="114"/>
      <c r="B21" s="70" t="s">
        <v>60</v>
      </c>
      <c r="C21" s="134">
        <v>1</v>
      </c>
      <c r="D21" s="164">
        <v>1</v>
      </c>
      <c r="E21" s="164">
        <v>2</v>
      </c>
      <c r="F21" s="164">
        <v>3</v>
      </c>
      <c r="G21" s="116">
        <v>4</v>
      </c>
      <c r="H21" s="119">
        <v>5</v>
      </c>
    </row>
    <row r="22" spans="1:8" ht="18.75" x14ac:dyDescent="0.25">
      <c r="A22" s="114"/>
      <c r="B22" s="71" t="s">
        <v>61</v>
      </c>
      <c r="C22" s="135"/>
      <c r="D22" s="165"/>
      <c r="E22" s="165"/>
      <c r="F22" s="165"/>
      <c r="G22" s="117"/>
      <c r="H22" s="120"/>
    </row>
    <row r="23" spans="1:8" ht="22.5" customHeight="1" x14ac:dyDescent="0.25">
      <c r="A23" s="114"/>
      <c r="B23" s="71" t="s">
        <v>134</v>
      </c>
      <c r="C23" s="135"/>
      <c r="D23" s="165"/>
      <c r="E23" s="165"/>
      <c r="F23" s="165"/>
      <c r="G23" s="117"/>
      <c r="H23" s="120"/>
    </row>
    <row r="24" spans="1:8" ht="38.25" thickBot="1" x14ac:dyDescent="0.3">
      <c r="A24" s="115"/>
      <c r="B24" s="67" t="s">
        <v>62</v>
      </c>
      <c r="C24" s="136"/>
      <c r="D24" s="166"/>
      <c r="E24" s="166"/>
      <c r="F24" s="166"/>
      <c r="G24" s="118"/>
      <c r="H24" s="121"/>
    </row>
    <row r="25" spans="1:8" ht="3.75" customHeight="1" x14ac:dyDescent="0.25">
      <c r="A25" s="167" t="s">
        <v>63</v>
      </c>
      <c r="B25" s="168"/>
      <c r="C25" s="169"/>
      <c r="D25" s="134">
        <v>1</v>
      </c>
      <c r="E25" s="134">
        <v>2</v>
      </c>
      <c r="F25" s="134">
        <v>3</v>
      </c>
      <c r="G25" s="134">
        <v>4</v>
      </c>
      <c r="H25" s="146">
        <v>5</v>
      </c>
    </row>
    <row r="26" spans="1:8" ht="3.75" customHeight="1" x14ac:dyDescent="0.25">
      <c r="A26" s="161"/>
      <c r="B26" s="162"/>
      <c r="C26" s="163"/>
      <c r="D26" s="135"/>
      <c r="E26" s="135"/>
      <c r="F26" s="135"/>
      <c r="G26" s="135"/>
      <c r="H26" s="147"/>
    </row>
    <row r="27" spans="1:8" ht="3.75" customHeight="1" x14ac:dyDescent="0.25">
      <c r="A27" s="122"/>
      <c r="B27" s="123"/>
      <c r="C27" s="124"/>
      <c r="D27" s="135"/>
      <c r="E27" s="135"/>
      <c r="F27" s="135"/>
      <c r="G27" s="135"/>
      <c r="H27" s="147"/>
    </row>
    <row r="28" spans="1:8" ht="3.75" customHeight="1" x14ac:dyDescent="0.25">
      <c r="A28" s="161"/>
      <c r="B28" s="162"/>
      <c r="C28" s="163"/>
      <c r="D28" s="135"/>
      <c r="E28" s="135"/>
      <c r="F28" s="135"/>
      <c r="G28" s="135"/>
      <c r="H28" s="147"/>
    </row>
    <row r="29" spans="1:8" ht="3.75" customHeight="1" x14ac:dyDescent="0.25">
      <c r="A29" s="122"/>
      <c r="B29" s="123"/>
      <c r="C29" s="124"/>
      <c r="D29" s="135"/>
      <c r="E29" s="135"/>
      <c r="F29" s="135"/>
      <c r="G29" s="135"/>
      <c r="H29" s="147"/>
    </row>
    <row r="30" spans="1:8" ht="3.75" customHeight="1" x14ac:dyDescent="0.25">
      <c r="A30" s="161"/>
      <c r="B30" s="162"/>
      <c r="C30" s="163"/>
      <c r="D30" s="135"/>
      <c r="E30" s="135"/>
      <c r="F30" s="135"/>
      <c r="G30" s="135"/>
      <c r="H30" s="147"/>
    </row>
    <row r="31" spans="1:8" ht="3.75" customHeight="1" x14ac:dyDescent="0.25">
      <c r="A31" s="122"/>
      <c r="B31" s="123"/>
      <c r="C31" s="124"/>
      <c r="D31" s="135"/>
      <c r="E31" s="135"/>
      <c r="F31" s="135"/>
      <c r="G31" s="135"/>
      <c r="H31" s="147"/>
    </row>
    <row r="32" spans="1:8" ht="3.75" customHeight="1" x14ac:dyDescent="0.25">
      <c r="A32" s="161"/>
      <c r="B32" s="162"/>
      <c r="C32" s="163"/>
      <c r="D32" s="135"/>
      <c r="E32" s="135"/>
      <c r="F32" s="135"/>
      <c r="G32" s="135"/>
      <c r="H32" s="147"/>
    </row>
    <row r="33" spans="1:8" ht="3.75" customHeight="1" thickBot="1" x14ac:dyDescent="0.3">
      <c r="A33" s="122"/>
      <c r="B33" s="123"/>
      <c r="C33" s="124"/>
      <c r="D33" s="136"/>
      <c r="E33" s="136"/>
      <c r="F33" s="136"/>
      <c r="G33" s="136"/>
      <c r="H33" s="148"/>
    </row>
    <row r="34" spans="1:8" ht="20.25" x14ac:dyDescent="0.25">
      <c r="A34" s="161"/>
      <c r="B34" s="162"/>
      <c r="C34" s="163"/>
      <c r="D34" s="72" t="s">
        <v>64</v>
      </c>
      <c r="E34" s="72" t="s">
        <v>66</v>
      </c>
      <c r="F34" s="72" t="s">
        <v>68</v>
      </c>
      <c r="G34" s="72" t="s">
        <v>70</v>
      </c>
      <c r="H34" s="73" t="s">
        <v>72</v>
      </c>
    </row>
    <row r="35" spans="1:8" ht="21" x14ac:dyDescent="0.25">
      <c r="A35" s="122"/>
      <c r="B35" s="123"/>
      <c r="C35" s="124"/>
      <c r="D35" s="74" t="s">
        <v>65</v>
      </c>
      <c r="E35" s="74" t="s">
        <v>67</v>
      </c>
      <c r="F35" s="74" t="s">
        <v>69</v>
      </c>
      <c r="G35" s="74" t="s">
        <v>71</v>
      </c>
      <c r="H35" s="75" t="s">
        <v>73</v>
      </c>
    </row>
    <row r="36" spans="1:8" s="69" customFormat="1" ht="315.75" customHeight="1" thickBot="1" x14ac:dyDescent="0.35">
      <c r="A36" s="125"/>
      <c r="B36" s="126"/>
      <c r="C36" s="127"/>
      <c r="D36" s="67" t="s">
        <v>136</v>
      </c>
      <c r="E36" s="67" t="s">
        <v>137</v>
      </c>
      <c r="F36" s="67" t="s">
        <v>138</v>
      </c>
      <c r="G36" s="67" t="s">
        <v>139</v>
      </c>
      <c r="H36" s="68" t="s">
        <v>140</v>
      </c>
    </row>
    <row r="37" spans="1:8" ht="19.5" customHeight="1" x14ac:dyDescent="0.25">
      <c r="A37" s="128"/>
      <c r="B37" s="129"/>
      <c r="C37" s="130"/>
      <c r="D37" s="149" t="s">
        <v>3</v>
      </c>
      <c r="E37" s="150"/>
      <c r="F37" s="150"/>
      <c r="G37" s="150"/>
      <c r="H37" s="151"/>
    </row>
    <row r="38" spans="1:8" ht="21.75" thickBot="1" x14ac:dyDescent="0.3">
      <c r="A38" s="131"/>
      <c r="B38" s="132"/>
      <c r="C38" s="133"/>
      <c r="D38" s="110" t="s">
        <v>74</v>
      </c>
      <c r="E38" s="111"/>
      <c r="F38" s="111"/>
      <c r="G38" s="111"/>
      <c r="H38" s="112"/>
    </row>
    <row r="39" spans="1:8" ht="15.75" thickTop="1" x14ac:dyDescent="0.25"/>
  </sheetData>
  <mergeCells count="54">
    <mergeCell ref="H5:H8"/>
    <mergeCell ref="G9:G12"/>
    <mergeCell ref="H9:H12"/>
    <mergeCell ref="F21:F24"/>
    <mergeCell ref="A27:C27"/>
    <mergeCell ref="H17:H20"/>
    <mergeCell ref="C13:C16"/>
    <mergeCell ref="D13:D16"/>
    <mergeCell ref="E13:E16"/>
    <mergeCell ref="F13:F16"/>
    <mergeCell ref="C9:C12"/>
    <mergeCell ref="D9:D12"/>
    <mergeCell ref="E9:E12"/>
    <mergeCell ref="F9:F12"/>
    <mergeCell ref="C17:C20"/>
    <mergeCell ref="D17:D20"/>
    <mergeCell ref="A32:C32"/>
    <mergeCell ref="A28:C28"/>
    <mergeCell ref="A29:C29"/>
    <mergeCell ref="A30:C30"/>
    <mergeCell ref="A25:C25"/>
    <mergeCell ref="A26:C26"/>
    <mergeCell ref="G17:G20"/>
    <mergeCell ref="H25:H33"/>
    <mergeCell ref="D37:H37"/>
    <mergeCell ref="A3:H3"/>
    <mergeCell ref="A4:H4"/>
    <mergeCell ref="C5:C8"/>
    <mergeCell ref="D5:D8"/>
    <mergeCell ref="E5:E8"/>
    <mergeCell ref="F5:F8"/>
    <mergeCell ref="G5:G8"/>
    <mergeCell ref="A33:C33"/>
    <mergeCell ref="A34:C34"/>
    <mergeCell ref="C21:C24"/>
    <mergeCell ref="D21:D24"/>
    <mergeCell ref="E21:E24"/>
    <mergeCell ref="A31:C31"/>
    <mergeCell ref="D38:H38"/>
    <mergeCell ref="A5:A24"/>
    <mergeCell ref="G21:G24"/>
    <mergeCell ref="H21:H24"/>
    <mergeCell ref="A35:C35"/>
    <mergeCell ref="A36:C36"/>
    <mergeCell ref="A37:C37"/>
    <mergeCell ref="A38:C38"/>
    <mergeCell ref="D25:D33"/>
    <mergeCell ref="E25:E33"/>
    <mergeCell ref="F25:F33"/>
    <mergeCell ref="G25:G33"/>
    <mergeCell ref="G13:G16"/>
    <mergeCell ref="H13:H16"/>
    <mergeCell ref="E17:E20"/>
    <mergeCell ref="F17:F20"/>
  </mergeCells>
  <printOptions horizontalCentered="1"/>
  <pageMargins left="0.70866141732283472" right="0.70866141732283472" top="0.74803149606299213" bottom="0.74803149606299213" header="0.31496062992125984" footer="0.31496062992125984"/>
  <pageSetup paperSize="9" scale="61" orientation="portrait" r:id="rId1"/>
  <headerFooter>
    <oddHeader>&amp;C&amp;"-,Bold"&amp;14&amp;Uمحظور</oddHeader>
    <oddFooter>&amp;C&amp;"-,Bold"&amp;14&amp;Uمحظور</oddFooter>
  </headerFooter>
  <drawing r:id="rId2"/>
  <legacyDrawing r:id="rId3"/>
  <oleObjects>
    <mc:AlternateContent xmlns:mc="http://schemas.openxmlformats.org/markup-compatibility/2006">
      <mc:Choice Requires="x14">
        <oleObject progId="PBrush" shapeId="2050" r:id="rId4">
          <objectPr defaultSize="0" autoPict="0" r:id="rId5">
            <anchor moveWithCells="1" sizeWithCells="1">
              <from>
                <xdr:col>0</xdr:col>
                <xdr:colOff>0</xdr:colOff>
                <xdr:row>24</xdr:row>
                <xdr:rowOff>19050</xdr:rowOff>
              </from>
              <to>
                <xdr:col>1</xdr:col>
                <xdr:colOff>676275</xdr:colOff>
                <xdr:row>37</xdr:row>
                <xdr:rowOff>161925</xdr:rowOff>
              </to>
            </anchor>
          </objectPr>
        </oleObject>
      </mc:Choice>
      <mc:Fallback>
        <oleObject progId="PBrush" shapeId="2050"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6189-97CC-40AB-946C-7F5AA0809845}">
  <sheetPr>
    <pageSetUpPr fitToPage="1"/>
  </sheetPr>
  <dimension ref="A2:I39"/>
  <sheetViews>
    <sheetView tabSelected="1" view="pageBreakPreview" zoomScale="60" zoomScaleNormal="90" workbookViewId="0">
      <selection activeCell="A38" sqref="A38:I38"/>
    </sheetView>
  </sheetViews>
  <sheetFormatPr defaultRowHeight="15" x14ac:dyDescent="0.25"/>
  <cols>
    <col min="1" max="1" width="8.5703125" customWidth="1"/>
    <col min="2" max="3" width="30.42578125" customWidth="1"/>
    <col min="4" max="4" width="11.140625" customWidth="1"/>
    <col min="5" max="9" width="37.140625" customWidth="1"/>
    <col min="10" max="10" width="18.5703125" customWidth="1"/>
  </cols>
  <sheetData>
    <row r="2" spans="1:9" ht="15.75" thickBot="1" x14ac:dyDescent="0.3"/>
    <row r="3" spans="1:9" ht="33" customHeight="1" thickTop="1" thickBot="1" x14ac:dyDescent="0.3">
      <c r="A3" s="182" t="s">
        <v>99</v>
      </c>
      <c r="B3" s="183"/>
      <c r="C3" s="183"/>
      <c r="D3" s="183"/>
      <c r="E3" s="183"/>
      <c r="F3" s="183"/>
      <c r="G3" s="183"/>
      <c r="H3" s="183"/>
      <c r="I3" s="184"/>
    </row>
    <row r="4" spans="1:9" ht="33" customHeight="1" thickTop="1" thickBot="1" x14ac:dyDescent="0.3">
      <c r="A4" s="182" t="s">
        <v>75</v>
      </c>
      <c r="B4" s="183"/>
      <c r="C4" s="183"/>
      <c r="D4" s="183"/>
      <c r="E4" s="183"/>
      <c r="F4" s="183"/>
      <c r="G4" s="183"/>
      <c r="H4" s="183"/>
      <c r="I4" s="184"/>
    </row>
    <row r="5" spans="1:9" ht="28.5" customHeight="1" x14ac:dyDescent="0.25">
      <c r="A5" s="218" t="s">
        <v>128</v>
      </c>
      <c r="B5" s="76" t="s">
        <v>49</v>
      </c>
      <c r="C5" s="74" t="s">
        <v>83</v>
      </c>
      <c r="D5" s="134">
        <v>5</v>
      </c>
      <c r="E5" s="185">
        <v>5</v>
      </c>
      <c r="F5" s="188">
        <v>10</v>
      </c>
      <c r="G5" s="191">
        <v>15</v>
      </c>
      <c r="H5" s="194">
        <v>20</v>
      </c>
      <c r="I5" s="197">
        <v>25</v>
      </c>
    </row>
    <row r="6" spans="1:9" ht="21" x14ac:dyDescent="0.25">
      <c r="A6" s="219"/>
      <c r="B6" s="77" t="s">
        <v>76</v>
      </c>
      <c r="C6" s="74" t="s">
        <v>84</v>
      </c>
      <c r="D6" s="135"/>
      <c r="E6" s="186"/>
      <c r="F6" s="189"/>
      <c r="G6" s="192"/>
      <c r="H6" s="195"/>
      <c r="I6" s="198"/>
    </row>
    <row r="7" spans="1:9" ht="63" x14ac:dyDescent="0.25">
      <c r="A7" s="219"/>
      <c r="B7" s="77" t="s">
        <v>50</v>
      </c>
      <c r="C7" s="74" t="s">
        <v>85</v>
      </c>
      <c r="D7" s="135"/>
      <c r="E7" s="186"/>
      <c r="F7" s="189"/>
      <c r="G7" s="192"/>
      <c r="H7" s="195"/>
      <c r="I7" s="198"/>
    </row>
    <row r="8" spans="1:9" ht="63.75" thickBot="1" x14ac:dyDescent="0.3">
      <c r="A8" s="219"/>
      <c r="B8" s="78" t="s">
        <v>108</v>
      </c>
      <c r="C8" s="79" t="s">
        <v>109</v>
      </c>
      <c r="D8" s="136"/>
      <c r="E8" s="187"/>
      <c r="F8" s="190"/>
      <c r="G8" s="193"/>
      <c r="H8" s="196"/>
      <c r="I8" s="199"/>
    </row>
    <row r="9" spans="1:9" ht="21" x14ac:dyDescent="0.25">
      <c r="A9" s="219"/>
      <c r="B9" s="77" t="s">
        <v>52</v>
      </c>
      <c r="C9" s="74" t="s">
        <v>86</v>
      </c>
      <c r="D9" s="134">
        <v>4</v>
      </c>
      <c r="E9" s="185">
        <v>4</v>
      </c>
      <c r="F9" s="188">
        <v>8</v>
      </c>
      <c r="G9" s="191">
        <v>12</v>
      </c>
      <c r="H9" s="191">
        <v>16</v>
      </c>
      <c r="I9" s="197">
        <v>20</v>
      </c>
    </row>
    <row r="10" spans="1:9" ht="21" x14ac:dyDescent="0.25">
      <c r="A10" s="219"/>
      <c r="B10" s="77" t="s">
        <v>77</v>
      </c>
      <c r="C10" s="74" t="s">
        <v>83</v>
      </c>
      <c r="D10" s="135"/>
      <c r="E10" s="186"/>
      <c r="F10" s="189"/>
      <c r="G10" s="192"/>
      <c r="H10" s="192"/>
      <c r="I10" s="198"/>
    </row>
    <row r="11" spans="1:9" ht="42" x14ac:dyDescent="0.25">
      <c r="A11" s="219"/>
      <c r="B11" s="77" t="s">
        <v>53</v>
      </c>
      <c r="C11" s="74" t="s">
        <v>87</v>
      </c>
      <c r="D11" s="135"/>
      <c r="E11" s="186"/>
      <c r="F11" s="189"/>
      <c r="G11" s="192"/>
      <c r="H11" s="192"/>
      <c r="I11" s="198"/>
    </row>
    <row r="12" spans="1:9" ht="86.25" customHeight="1" thickBot="1" x14ac:dyDescent="0.3">
      <c r="A12" s="219"/>
      <c r="B12" s="78" t="s">
        <v>107</v>
      </c>
      <c r="C12" s="79" t="s">
        <v>106</v>
      </c>
      <c r="D12" s="136"/>
      <c r="E12" s="187"/>
      <c r="F12" s="190"/>
      <c r="G12" s="193"/>
      <c r="H12" s="193"/>
      <c r="I12" s="199"/>
    </row>
    <row r="13" spans="1:9" ht="21" x14ac:dyDescent="0.25">
      <c r="A13" s="219"/>
      <c r="B13" s="77" t="s">
        <v>55</v>
      </c>
      <c r="C13" s="74" t="s">
        <v>88</v>
      </c>
      <c r="D13" s="134">
        <v>3</v>
      </c>
      <c r="E13" s="203">
        <v>3</v>
      </c>
      <c r="F13" s="185">
        <v>6</v>
      </c>
      <c r="G13" s="188">
        <v>9</v>
      </c>
      <c r="H13" s="191">
        <v>12</v>
      </c>
      <c r="I13" s="200">
        <v>15</v>
      </c>
    </row>
    <row r="14" spans="1:9" ht="21" x14ac:dyDescent="0.25">
      <c r="A14" s="219"/>
      <c r="B14" s="77" t="s">
        <v>78</v>
      </c>
      <c r="C14" s="74" t="s">
        <v>89</v>
      </c>
      <c r="D14" s="135"/>
      <c r="E14" s="204"/>
      <c r="F14" s="186"/>
      <c r="G14" s="189"/>
      <c r="H14" s="192"/>
      <c r="I14" s="201"/>
    </row>
    <row r="15" spans="1:9" ht="63" x14ac:dyDescent="0.25">
      <c r="A15" s="219"/>
      <c r="B15" s="77" t="s">
        <v>56</v>
      </c>
      <c r="C15" s="74" t="s">
        <v>90</v>
      </c>
      <c r="D15" s="135"/>
      <c r="E15" s="204"/>
      <c r="F15" s="186"/>
      <c r="G15" s="189"/>
      <c r="H15" s="192"/>
      <c r="I15" s="201"/>
    </row>
    <row r="16" spans="1:9" ht="105.75" thickBot="1" x14ac:dyDescent="0.3">
      <c r="A16" s="219"/>
      <c r="B16" s="78" t="s">
        <v>104</v>
      </c>
      <c r="C16" s="79" t="s">
        <v>105</v>
      </c>
      <c r="D16" s="136"/>
      <c r="E16" s="205"/>
      <c r="F16" s="187"/>
      <c r="G16" s="190"/>
      <c r="H16" s="193"/>
      <c r="I16" s="202"/>
    </row>
    <row r="17" spans="1:9" ht="21" x14ac:dyDescent="0.25">
      <c r="A17" s="219"/>
      <c r="B17" s="77" t="s">
        <v>58</v>
      </c>
      <c r="C17" s="74" t="s">
        <v>91</v>
      </c>
      <c r="D17" s="134">
        <v>2</v>
      </c>
      <c r="E17" s="203">
        <v>2</v>
      </c>
      <c r="F17" s="185">
        <v>4</v>
      </c>
      <c r="G17" s="185">
        <v>6</v>
      </c>
      <c r="H17" s="188">
        <v>8</v>
      </c>
      <c r="I17" s="209">
        <v>10</v>
      </c>
    </row>
    <row r="18" spans="1:9" ht="21" x14ac:dyDescent="0.25">
      <c r="A18" s="219"/>
      <c r="B18" s="77" t="s">
        <v>79</v>
      </c>
      <c r="C18" s="74" t="s">
        <v>92</v>
      </c>
      <c r="D18" s="135"/>
      <c r="E18" s="204"/>
      <c r="F18" s="186"/>
      <c r="G18" s="186"/>
      <c r="H18" s="189"/>
      <c r="I18" s="210"/>
    </row>
    <row r="19" spans="1:9" ht="42" x14ac:dyDescent="0.25">
      <c r="A19" s="219"/>
      <c r="B19" s="77" t="s">
        <v>59</v>
      </c>
      <c r="C19" s="74" t="s">
        <v>93</v>
      </c>
      <c r="D19" s="135"/>
      <c r="E19" s="204"/>
      <c r="F19" s="186"/>
      <c r="G19" s="186"/>
      <c r="H19" s="189"/>
      <c r="I19" s="210"/>
    </row>
    <row r="20" spans="1:9" ht="105.75" thickBot="1" x14ac:dyDescent="0.3">
      <c r="A20" s="219"/>
      <c r="B20" s="78" t="s">
        <v>103</v>
      </c>
      <c r="C20" s="79" t="s">
        <v>102</v>
      </c>
      <c r="D20" s="136"/>
      <c r="E20" s="205"/>
      <c r="F20" s="187"/>
      <c r="G20" s="187"/>
      <c r="H20" s="190"/>
      <c r="I20" s="211"/>
    </row>
    <row r="21" spans="1:9" ht="21" x14ac:dyDescent="0.25">
      <c r="A21" s="219"/>
      <c r="B21" s="77" t="s">
        <v>61</v>
      </c>
      <c r="C21" s="74" t="s">
        <v>94</v>
      </c>
      <c r="D21" s="134">
        <v>1</v>
      </c>
      <c r="E21" s="203">
        <v>1</v>
      </c>
      <c r="F21" s="203">
        <v>2</v>
      </c>
      <c r="G21" s="203">
        <v>3</v>
      </c>
      <c r="H21" s="185">
        <v>4</v>
      </c>
      <c r="I21" s="206">
        <v>5</v>
      </c>
    </row>
    <row r="22" spans="1:9" ht="21" x14ac:dyDescent="0.25">
      <c r="A22" s="219"/>
      <c r="B22" s="77" t="s">
        <v>80</v>
      </c>
      <c r="C22" s="74" t="s">
        <v>95</v>
      </c>
      <c r="D22" s="135"/>
      <c r="E22" s="204"/>
      <c r="F22" s="204"/>
      <c r="G22" s="204"/>
      <c r="H22" s="186"/>
      <c r="I22" s="207"/>
    </row>
    <row r="23" spans="1:9" ht="42" x14ac:dyDescent="0.25">
      <c r="A23" s="219"/>
      <c r="B23" s="77" t="s">
        <v>62</v>
      </c>
      <c r="C23" s="86" t="s">
        <v>96</v>
      </c>
      <c r="D23" s="135"/>
      <c r="E23" s="204"/>
      <c r="F23" s="204"/>
      <c r="G23" s="204"/>
      <c r="H23" s="186"/>
      <c r="I23" s="207"/>
    </row>
    <row r="24" spans="1:9" ht="84.75" thickBot="1" x14ac:dyDescent="0.3">
      <c r="A24" s="220"/>
      <c r="B24" s="78" t="s">
        <v>100</v>
      </c>
      <c r="C24" s="79" t="s">
        <v>101</v>
      </c>
      <c r="D24" s="136"/>
      <c r="E24" s="205"/>
      <c r="F24" s="205"/>
      <c r="G24" s="205"/>
      <c r="H24" s="187"/>
      <c r="I24" s="208"/>
    </row>
    <row r="25" spans="1:9" ht="8.25" customHeight="1" x14ac:dyDescent="0.25">
      <c r="A25" s="233"/>
      <c r="B25" s="234"/>
      <c r="C25" s="234"/>
      <c r="D25" s="235"/>
      <c r="E25" s="134">
        <v>1</v>
      </c>
      <c r="F25" s="134">
        <v>2</v>
      </c>
      <c r="G25" s="134">
        <v>3</v>
      </c>
      <c r="H25" s="134">
        <v>4</v>
      </c>
      <c r="I25" s="146">
        <v>5</v>
      </c>
    </row>
    <row r="26" spans="1:9" ht="8.25" customHeight="1" x14ac:dyDescent="0.25">
      <c r="A26" s="212"/>
      <c r="B26" s="213"/>
      <c r="C26" s="213"/>
      <c r="D26" s="214"/>
      <c r="E26" s="135"/>
      <c r="F26" s="135"/>
      <c r="G26" s="135"/>
      <c r="H26" s="135"/>
      <c r="I26" s="147"/>
    </row>
    <row r="27" spans="1:9" ht="8.25" customHeight="1" x14ac:dyDescent="0.25">
      <c r="A27" s="215"/>
      <c r="B27" s="216"/>
      <c r="C27" s="216"/>
      <c r="D27" s="217"/>
      <c r="E27" s="135"/>
      <c r="F27" s="135"/>
      <c r="G27" s="135"/>
      <c r="H27" s="135"/>
      <c r="I27" s="147"/>
    </row>
    <row r="28" spans="1:9" ht="8.25" customHeight="1" x14ac:dyDescent="0.25">
      <c r="A28" s="215"/>
      <c r="B28" s="216"/>
      <c r="C28" s="216"/>
      <c r="D28" s="217"/>
      <c r="E28" s="135"/>
      <c r="F28" s="135"/>
      <c r="G28" s="135"/>
      <c r="H28" s="135"/>
      <c r="I28" s="147"/>
    </row>
    <row r="29" spans="1:9" ht="8.25" customHeight="1" x14ac:dyDescent="0.25">
      <c r="A29" s="215"/>
      <c r="B29" s="216"/>
      <c r="C29" s="216"/>
      <c r="D29" s="217"/>
      <c r="E29" s="135"/>
      <c r="F29" s="135"/>
      <c r="G29" s="135"/>
      <c r="H29" s="135"/>
      <c r="I29" s="147"/>
    </row>
    <row r="30" spans="1:9" ht="37.5" customHeight="1" thickBot="1" x14ac:dyDescent="0.3">
      <c r="A30" s="215"/>
      <c r="B30" s="216"/>
      <c r="C30" s="216"/>
      <c r="D30" s="217"/>
      <c r="E30" s="93" t="s">
        <v>123</v>
      </c>
      <c r="F30" s="94" t="s">
        <v>122</v>
      </c>
      <c r="G30" s="94" t="s">
        <v>119</v>
      </c>
      <c r="H30" s="94" t="s">
        <v>120</v>
      </c>
      <c r="I30" s="95" t="s">
        <v>121</v>
      </c>
    </row>
    <row r="31" spans="1:9" ht="37.5" customHeight="1" thickBot="1" x14ac:dyDescent="0.3">
      <c r="A31" s="80"/>
      <c r="B31" s="81"/>
      <c r="C31" s="81"/>
      <c r="D31" s="82"/>
      <c r="E31" s="179" t="s">
        <v>129</v>
      </c>
      <c r="F31" s="180"/>
      <c r="G31" s="180"/>
      <c r="H31" s="180"/>
      <c r="I31" s="181"/>
    </row>
    <row r="32" spans="1:9" ht="402.75" customHeight="1" thickTop="1" x14ac:dyDescent="0.25">
      <c r="A32" s="215"/>
      <c r="B32" s="216"/>
      <c r="C32" s="216"/>
      <c r="D32" s="217"/>
      <c r="E32" s="87" t="s">
        <v>98</v>
      </c>
      <c r="F32" s="88" t="s">
        <v>110</v>
      </c>
      <c r="G32" s="88" t="s">
        <v>118</v>
      </c>
      <c r="H32" s="88" t="s">
        <v>116</v>
      </c>
      <c r="I32" s="89" t="s">
        <v>117</v>
      </c>
    </row>
    <row r="33" spans="1:9" ht="373.5" customHeight="1" x14ac:dyDescent="0.25">
      <c r="A33" s="227"/>
      <c r="B33" s="228"/>
      <c r="C33" s="228"/>
      <c r="D33" s="229"/>
      <c r="E33" s="90" t="s">
        <v>97</v>
      </c>
      <c r="F33" s="91" t="s">
        <v>111</v>
      </c>
      <c r="G33" s="91" t="s">
        <v>113</v>
      </c>
      <c r="H33" s="91" t="s">
        <v>114</v>
      </c>
      <c r="I33" s="92" t="s">
        <v>115</v>
      </c>
    </row>
    <row r="34" spans="1:9" ht="129" customHeight="1" thickBot="1" x14ac:dyDescent="0.3">
      <c r="A34" s="227"/>
      <c r="B34" s="228"/>
      <c r="C34" s="228"/>
      <c r="D34" s="229"/>
      <c r="E34" s="83"/>
      <c r="F34" s="85" t="s">
        <v>112</v>
      </c>
      <c r="G34" s="85" t="s">
        <v>124</v>
      </c>
      <c r="H34" s="85" t="s">
        <v>125</v>
      </c>
      <c r="I34" s="84"/>
    </row>
    <row r="35" spans="1:9" ht="20.25" customHeight="1" x14ac:dyDescent="0.25">
      <c r="A35" s="227"/>
      <c r="B35" s="228"/>
      <c r="C35" s="228"/>
      <c r="D35" s="229"/>
      <c r="E35" s="221" t="s">
        <v>81</v>
      </c>
      <c r="F35" s="222"/>
      <c r="G35" s="222"/>
      <c r="H35" s="222"/>
      <c r="I35" s="223"/>
    </row>
    <row r="36" spans="1:9" ht="21.75" thickBot="1" x14ac:dyDescent="0.3">
      <c r="A36" s="230"/>
      <c r="B36" s="231"/>
      <c r="C36" s="231"/>
      <c r="D36" s="232"/>
      <c r="E36" s="224" t="s">
        <v>82</v>
      </c>
      <c r="F36" s="225"/>
      <c r="G36" s="225"/>
      <c r="H36" s="225"/>
      <c r="I36" s="226"/>
    </row>
    <row r="37" spans="1:9" ht="56.25" customHeight="1" thickBot="1" x14ac:dyDescent="0.3">
      <c r="A37" s="176" t="s">
        <v>126</v>
      </c>
      <c r="B37" s="177"/>
      <c r="C37" s="177"/>
      <c r="D37" s="177"/>
      <c r="E37" s="177"/>
      <c r="F37" s="177"/>
      <c r="G37" s="177"/>
      <c r="H37" s="177"/>
      <c r="I37" s="178"/>
    </row>
    <row r="38" spans="1:9" ht="60.75" customHeight="1" thickTop="1" thickBot="1" x14ac:dyDescent="0.3">
      <c r="A38" s="176" t="s">
        <v>127</v>
      </c>
      <c r="B38" s="177"/>
      <c r="C38" s="177"/>
      <c r="D38" s="177"/>
      <c r="E38" s="177"/>
      <c r="F38" s="177"/>
      <c r="G38" s="177"/>
      <c r="H38" s="177"/>
      <c r="I38" s="178"/>
    </row>
    <row r="39" spans="1:9" ht="15.75" thickTop="1" x14ac:dyDescent="0.25"/>
  </sheetData>
  <mergeCells count="54">
    <mergeCell ref="A37:I37"/>
    <mergeCell ref="A5:A24"/>
    <mergeCell ref="A3:I3"/>
    <mergeCell ref="F25:F29"/>
    <mergeCell ref="G25:G29"/>
    <mergeCell ref="H25:H29"/>
    <mergeCell ref="I25:I29"/>
    <mergeCell ref="E35:I35"/>
    <mergeCell ref="E36:I36"/>
    <mergeCell ref="A32:D32"/>
    <mergeCell ref="A33:D33"/>
    <mergeCell ref="A34:D34"/>
    <mergeCell ref="A35:D35"/>
    <mergeCell ref="A36:D36"/>
    <mergeCell ref="E25:E29"/>
    <mergeCell ref="A25:D25"/>
    <mergeCell ref="A26:D26"/>
    <mergeCell ref="A27:D27"/>
    <mergeCell ref="A28:D28"/>
    <mergeCell ref="A29:D29"/>
    <mergeCell ref="A30:D30"/>
    <mergeCell ref="I21:I24"/>
    <mergeCell ref="D17:D20"/>
    <mergeCell ref="E17:E20"/>
    <mergeCell ref="F17:F20"/>
    <mergeCell ref="G17:G20"/>
    <mergeCell ref="H17:H20"/>
    <mergeCell ref="I17:I20"/>
    <mergeCell ref="D21:D24"/>
    <mergeCell ref="E21:E24"/>
    <mergeCell ref="F21:F24"/>
    <mergeCell ref="G21:G24"/>
    <mergeCell ref="H21:H24"/>
    <mergeCell ref="D13:D16"/>
    <mergeCell ref="E13:E16"/>
    <mergeCell ref="F13:F16"/>
    <mergeCell ref="G13:G16"/>
    <mergeCell ref="H13:H16"/>
    <mergeCell ref="A38:I38"/>
    <mergeCell ref="E31:I31"/>
    <mergeCell ref="A4:I4"/>
    <mergeCell ref="D5:D8"/>
    <mergeCell ref="E5:E8"/>
    <mergeCell ref="F5:F8"/>
    <mergeCell ref="G5:G8"/>
    <mergeCell ref="H5:H8"/>
    <mergeCell ref="I5:I8"/>
    <mergeCell ref="I13:I16"/>
    <mergeCell ref="D9:D12"/>
    <mergeCell ref="E9:E12"/>
    <mergeCell ref="F9:F12"/>
    <mergeCell ref="G9:G12"/>
    <mergeCell ref="H9:H12"/>
    <mergeCell ref="I9:I12"/>
  </mergeCells>
  <printOptions horizontalCentered="1"/>
  <pageMargins left="0.70866141732283472" right="0.70866141732283472" top="0.74803149606299213" bottom="0.74803149606299213" header="0.31496062992125984" footer="0.31496062992125984"/>
  <pageSetup paperSize="9" scale="32" orientation="portrait" r:id="rId1"/>
  <headerFooter>
    <oddHeader>&amp;C&amp;"-,Bold"&amp;14&amp;Uمحظور</oddHeader>
    <oddFooter>&amp;C&amp;"-,Bold"&amp;14&amp;Uمحظور</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0983-AA6B-4308-B9A9-B01D5BFF3554}">
  <sheetPr>
    <pageSetUpPr fitToPage="1"/>
  </sheetPr>
  <dimension ref="B1:N16"/>
  <sheetViews>
    <sheetView rightToLeft="1" view="pageBreakPreview" zoomScale="90" zoomScaleNormal="100" zoomScaleSheetLayoutView="90" workbookViewId="0">
      <selection activeCell="D11" sqref="D11"/>
    </sheetView>
  </sheetViews>
  <sheetFormatPr defaultRowHeight="15" x14ac:dyDescent="0.25"/>
  <cols>
    <col min="1" max="1" width="0.5703125" customWidth="1"/>
    <col min="2" max="2" width="4.5703125" customWidth="1"/>
    <col min="3" max="3" width="31.7109375" customWidth="1"/>
    <col min="4" max="4" width="50" customWidth="1"/>
    <col min="5" max="5" width="13.140625" customWidth="1"/>
    <col min="6" max="6" width="14" customWidth="1"/>
    <col min="7" max="7" width="14.140625" customWidth="1"/>
    <col min="8" max="8" width="37" customWidth="1"/>
    <col min="9" max="9" width="47.42578125" customWidth="1"/>
  </cols>
  <sheetData>
    <row r="1" spans="2:14" ht="4.5" customHeight="1" thickBot="1" x14ac:dyDescent="0.3"/>
    <row r="2" spans="2:14" ht="60.75" customHeight="1" thickBot="1" x14ac:dyDescent="0.3">
      <c r="B2" s="236" t="s">
        <v>45</v>
      </c>
      <c r="C2" s="237"/>
      <c r="D2" s="237"/>
      <c r="E2" s="237"/>
      <c r="F2" s="237"/>
      <c r="G2" s="237"/>
      <c r="H2" s="237"/>
      <c r="I2" s="238"/>
    </row>
    <row r="3" spans="2:14" ht="35.25" customHeight="1" x14ac:dyDescent="0.25">
      <c r="B3" s="45" t="s">
        <v>17</v>
      </c>
      <c r="C3" s="43" t="s">
        <v>26</v>
      </c>
      <c r="D3" s="43" t="s">
        <v>38</v>
      </c>
      <c r="E3" s="43" t="s">
        <v>27</v>
      </c>
      <c r="F3" s="43" t="s">
        <v>28</v>
      </c>
      <c r="G3" s="43" t="s">
        <v>29</v>
      </c>
      <c r="H3" s="43" t="s">
        <v>30</v>
      </c>
      <c r="I3" s="46" t="s">
        <v>31</v>
      </c>
      <c r="J3" s="35"/>
    </row>
    <row r="4" spans="2:14" ht="54.75" customHeight="1" x14ac:dyDescent="0.25">
      <c r="B4" s="47">
        <v>1</v>
      </c>
      <c r="C4" s="37" t="s">
        <v>32</v>
      </c>
      <c r="D4" s="37"/>
      <c r="E4" s="37" t="s">
        <v>10</v>
      </c>
      <c r="F4" s="37" t="s">
        <v>25</v>
      </c>
      <c r="G4" s="39">
        <f>IFERROR(IF(E4='MOD Matrix'!$H$8,1,IF(E4='MOD Matrix'!$H$7,2,IF(E4='MOD Matrix'!$H$6,3,IF(E4='MOD Matrix'!$H$5,4,IF(E4='MOD Matrix'!$H$4,5,"")))))*IF(F4='MOD Matrix'!$G$9,1,IF(F4='MOD Matrix'!$F$9,2,IF(F4='MOD Matrix'!$E$9,3,IF(F4='MOD Matrix'!$D$9,4,IF(F4='MOD Matrix'!$C$9,5,"")))))," ")</f>
        <v>15</v>
      </c>
      <c r="H4" s="42"/>
      <c r="I4" s="48"/>
      <c r="J4" s="35"/>
    </row>
    <row r="5" spans="2:14" ht="54.75" customHeight="1" x14ac:dyDescent="0.25">
      <c r="B5" s="47">
        <v>2</v>
      </c>
      <c r="C5" s="37" t="s">
        <v>39</v>
      </c>
      <c r="D5" s="37"/>
      <c r="E5" s="37" t="s">
        <v>9</v>
      </c>
      <c r="F5" s="37" t="s">
        <v>7</v>
      </c>
      <c r="G5" s="39">
        <f>IFERROR(IF(E5='MOD Matrix'!$H$8,1,IF(E5='MOD Matrix'!$H$7,2,IF(E5='MOD Matrix'!$H$6,3,IF(E5='MOD Matrix'!$H$5,4,IF(E5='MOD Matrix'!$H$4,5,"")))))*IF(F5='MOD Matrix'!$G$9,1,IF(F5='MOD Matrix'!$F$9,2,IF(F5='MOD Matrix'!$E$9,3,IF(F5='MOD Matrix'!$D$9,4,IF(F5='MOD Matrix'!$C$9,5,"")))))," ")</f>
        <v>6</v>
      </c>
      <c r="H5" s="42"/>
      <c r="I5" s="48"/>
      <c r="J5" s="35"/>
      <c r="K5" s="40"/>
      <c r="L5" s="40"/>
      <c r="M5" s="40"/>
      <c r="N5" s="40"/>
    </row>
    <row r="6" spans="2:14" ht="54.75" customHeight="1" x14ac:dyDescent="0.25">
      <c r="B6" s="47">
        <v>3</v>
      </c>
      <c r="C6" s="37" t="s">
        <v>40</v>
      </c>
      <c r="D6" s="37"/>
      <c r="E6" s="37" t="s">
        <v>10</v>
      </c>
      <c r="F6" s="37" t="s">
        <v>7</v>
      </c>
      <c r="G6" s="39">
        <f>IFERROR(IF(E6='MOD Matrix'!$H$8,1,IF(E6='MOD Matrix'!$H$7,2,IF(E6='MOD Matrix'!$H$6,3,IF(E6='MOD Matrix'!$H$5,4,IF(E6='MOD Matrix'!$H$4,5,"")))))*IF(F6='MOD Matrix'!$G$9,1,IF(F6='MOD Matrix'!$F$9,2,IF(F6='MOD Matrix'!$E$9,3,IF(F6='MOD Matrix'!$D$9,4,IF(F6='MOD Matrix'!$C$9,5,"")))))," ")</f>
        <v>9</v>
      </c>
      <c r="H6" s="42"/>
      <c r="I6" s="48"/>
      <c r="J6" s="35"/>
    </row>
    <row r="7" spans="2:14" ht="54.75" customHeight="1" x14ac:dyDescent="0.25">
      <c r="B7" s="47">
        <v>4</v>
      </c>
      <c r="C7" s="37" t="s">
        <v>41</v>
      </c>
      <c r="D7" s="37"/>
      <c r="E7" s="37" t="s">
        <v>9</v>
      </c>
      <c r="F7" s="37" t="s">
        <v>24</v>
      </c>
      <c r="G7" s="39">
        <f>IFERROR(IF(E7='MOD Matrix'!$H$8,1,IF(E7='MOD Matrix'!$H$7,2,IF(E7='MOD Matrix'!$H$6,3,IF(E7='MOD Matrix'!$H$5,4,IF(E7='MOD Matrix'!$H$4,5,"")))))*IF(F7='MOD Matrix'!$G$9,1,IF(F7='MOD Matrix'!$F$9,2,IF(F7='MOD Matrix'!$E$9,3,IF(F7='MOD Matrix'!$D$9,4,IF(F7='MOD Matrix'!$C$9,5,"")))))," ")</f>
        <v>8</v>
      </c>
      <c r="H7" s="42"/>
      <c r="I7" s="48"/>
      <c r="J7" s="35"/>
    </row>
    <row r="8" spans="2:14" ht="54.75" customHeight="1" x14ac:dyDescent="0.4">
      <c r="B8" s="47">
        <v>5</v>
      </c>
      <c r="C8" s="37" t="s">
        <v>42</v>
      </c>
      <c r="D8" s="37"/>
      <c r="E8" s="37" t="s">
        <v>10</v>
      </c>
      <c r="F8" s="37" t="s">
        <v>25</v>
      </c>
      <c r="G8" s="39">
        <f>IFERROR(IF(E8='MOD Matrix'!$H$8,1,IF(E8='MOD Matrix'!$H$7,2,IF(E8='MOD Matrix'!$H$6,3,IF(E8='MOD Matrix'!$H$5,4,IF(E8='MOD Matrix'!$H$4,5,"")))))*IF(F8='MOD Matrix'!$G$9,1,IF(F8='MOD Matrix'!$F$9,2,IF(F8='MOD Matrix'!$E$9,3,IF(F8='MOD Matrix'!$D$9,4,IF(F8='MOD Matrix'!$C$9,5,"")))))," ")</f>
        <v>15</v>
      </c>
      <c r="H8" s="42"/>
      <c r="I8" s="49"/>
      <c r="J8" s="35"/>
      <c r="L8" s="38"/>
    </row>
    <row r="9" spans="2:14" ht="54.75" customHeight="1" x14ac:dyDescent="0.25">
      <c r="B9" s="47">
        <v>6</v>
      </c>
      <c r="C9" s="37" t="s">
        <v>43</v>
      </c>
      <c r="D9" s="37"/>
      <c r="E9" s="37" t="s">
        <v>8</v>
      </c>
      <c r="F9" s="37" t="s">
        <v>24</v>
      </c>
      <c r="G9" s="39">
        <f>IFERROR(IF(E9='MOD Matrix'!$H$8,1,IF(E9='MOD Matrix'!$H$7,2,IF(E9='MOD Matrix'!$H$6,3,IF(E9='MOD Matrix'!$H$5,4,IF(E9='MOD Matrix'!$H$4,5,"")))))*IF(F9='MOD Matrix'!$G$9,1,IF(F9='MOD Matrix'!$F$9,2,IF(F9='MOD Matrix'!$E$9,3,IF(F9='MOD Matrix'!$D$9,4,IF(F9='MOD Matrix'!$C$9,5,"")))))," ")</f>
        <v>4</v>
      </c>
      <c r="H9" s="42"/>
      <c r="I9" s="49"/>
      <c r="J9" s="35"/>
    </row>
    <row r="10" spans="2:14" ht="54.75" customHeight="1" x14ac:dyDescent="0.25">
      <c r="B10" s="47">
        <v>7</v>
      </c>
      <c r="C10" s="37" t="s">
        <v>44</v>
      </c>
      <c r="D10" s="37"/>
      <c r="E10" s="37" t="s">
        <v>9</v>
      </c>
      <c r="F10" s="37" t="s">
        <v>7</v>
      </c>
      <c r="G10" s="39">
        <f>IFERROR(IF(E10='MOD Matrix'!$H$8,1,IF(E10='MOD Matrix'!$H$7,2,IF(E10='MOD Matrix'!$H$6,3,IF(E10='MOD Matrix'!$H$5,4,IF(E10='MOD Matrix'!$H$4,5,"")))))*IF(F10='MOD Matrix'!$G$9,1,IF(F10='MOD Matrix'!$F$9,2,IF(F10='MOD Matrix'!$E$9,3,IF(F10='MOD Matrix'!$D$9,4,IF(F10='MOD Matrix'!$C$9,5,"")))))," ")</f>
        <v>6</v>
      </c>
      <c r="H10" s="42"/>
      <c r="I10" s="48"/>
      <c r="J10" s="35"/>
    </row>
    <row r="11" spans="2:14" ht="54.75" customHeight="1" x14ac:dyDescent="0.25">
      <c r="B11" s="47">
        <v>8</v>
      </c>
      <c r="C11" s="5"/>
      <c r="D11" s="5"/>
      <c r="E11" s="37"/>
      <c r="F11" s="37"/>
      <c r="G11" s="39" t="str">
        <f>IFERROR(IF(E11='MOD Matrix'!$H$8,1,IF(E11='MOD Matrix'!$H$7,2,IF(E11='MOD Matrix'!$H$6,3,IF(E11='MOD Matrix'!$H$5,4,IF(E11='MOD Matrix'!$H$4,5,"")))))*IF(F11='MOD Matrix'!$G$9,1,IF(F11='MOD Matrix'!$F$9,2,IF(F11='MOD Matrix'!$E$9,3,IF(F11='MOD Matrix'!$D$9,4,IF(F11='MOD Matrix'!$C$9,5,"")))))," ")</f>
        <v xml:space="preserve"> </v>
      </c>
      <c r="H11" s="42" t="str">
        <f>IFERROR(INDEX(fivecategree,الجداول!$L18,COLUMNS('نموذج تقييم درجــات الخطورة'!$B15:'نموذج تقييم درجــات الخطورة'!C15)),"")</f>
        <v/>
      </c>
      <c r="I11" s="50"/>
      <c r="J11" s="35"/>
    </row>
    <row r="12" spans="2:14" ht="54.75" customHeight="1" x14ac:dyDescent="0.25">
      <c r="B12" s="47">
        <v>9</v>
      </c>
      <c r="C12" s="5"/>
      <c r="D12" s="5"/>
      <c r="E12" s="37"/>
      <c r="F12" s="37"/>
      <c r="G12" s="39" t="str">
        <f>IFERROR(IF(E12='MOD Matrix'!$H$8,1,IF(E12='MOD Matrix'!$H$7,2,IF(E12='MOD Matrix'!$H$6,3,IF(E12='MOD Matrix'!$H$5,4,IF(E12='MOD Matrix'!$H$4,5,"")))))*IF(F12='MOD Matrix'!$G$9,1,IF(F12='MOD Matrix'!$F$9,2,IF(F12='MOD Matrix'!$E$9,3,IF(F12='MOD Matrix'!$D$9,4,IF(F12='MOD Matrix'!$C$9,5,"")))))," ")</f>
        <v xml:space="preserve"> </v>
      </c>
      <c r="H12" s="42" t="str">
        <f>IFERROR(INDEX(fivecategree,الجداول!$L19,COLUMNS('نموذج تقييم درجــات الخطورة'!$B16:'نموذج تقييم درجــات الخطورة'!C16)),"")</f>
        <v/>
      </c>
      <c r="I12" s="50"/>
      <c r="J12" s="35"/>
    </row>
    <row r="13" spans="2:14" ht="54.75" customHeight="1" thickBot="1" x14ac:dyDescent="0.3">
      <c r="B13" s="51">
        <v>10</v>
      </c>
      <c r="C13" s="52"/>
      <c r="D13" s="52"/>
      <c r="E13" s="53"/>
      <c r="F13" s="53"/>
      <c r="G13" s="54" t="str">
        <f>IFERROR(IF(E13='MOD Matrix'!$H$8,1,IF(E13='MOD Matrix'!$H$7,2,IF(E13='MOD Matrix'!$H$6,3,IF(E13='MOD Matrix'!$H$5,4,IF(E13='MOD Matrix'!$H$4,5,"")))))*IF(F13='MOD Matrix'!$G$9,1,IF(F13='MOD Matrix'!$F$9,2,IF(F13='MOD Matrix'!$E$9,3,IF(F13='MOD Matrix'!$D$9,4,IF(F13='MOD Matrix'!$C$9,5,"")))))," ")</f>
        <v xml:space="preserve"> </v>
      </c>
      <c r="H13" s="55" t="str">
        <f>IFERROR(INDEX(fivecategree,الجداول!$L20,COLUMNS('نموذج تقييم درجــات الخطورة'!$B17:'نموذج تقييم درجــات الخطورة'!C17)),"")</f>
        <v/>
      </c>
      <c r="I13" s="56"/>
      <c r="J13" s="35"/>
    </row>
    <row r="14" spans="2:14" x14ac:dyDescent="0.25">
      <c r="J14" s="36"/>
    </row>
    <row r="15" spans="2:14" x14ac:dyDescent="0.25">
      <c r="J15" s="36"/>
    </row>
    <row r="16" spans="2:14" x14ac:dyDescent="0.25">
      <c r="J16" s="36"/>
    </row>
  </sheetData>
  <mergeCells count="1">
    <mergeCell ref="B2:I2"/>
  </mergeCells>
  <conditionalFormatting sqref="G4:G13">
    <cfRule type="expression" dxfId="24" priority="21">
      <formula>IF(AND(G4&gt;=17,G4&lt;=25),G4,"")</formula>
    </cfRule>
    <cfRule type="expression" dxfId="23" priority="22">
      <formula>IF(AND(G4&gt;=11,G4&lt;=16),G4,"")</formula>
    </cfRule>
    <cfRule type="expression" dxfId="22" priority="23">
      <formula>IF(AND(G4&gt;=7,G4&lt;=10),G4,"")</formula>
    </cfRule>
    <cfRule type="expression" dxfId="21" priority="24">
      <formula>IF(AND(G4&gt;=4,G4&lt;=6),G4,"")</formula>
    </cfRule>
    <cfRule type="expression" dxfId="20" priority="25">
      <formula>IF(AND(G4&gt;=1,G4&lt;=3),G4,"")</formula>
    </cfRule>
  </conditionalFormatting>
  <pageMargins left="0.25" right="0.25" top="0.75" bottom="0.75" header="0.3" footer="0.3"/>
  <pageSetup paperSize="9" scale="67"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16" id="{FC846D32-3F77-4AA6-9AFA-4523D25E3B2F}">
            <xm:f>E4='MOD Matrix'!$H$4</xm:f>
            <x14:dxf>
              <fill>
                <patternFill>
                  <bgColor rgb="FFFF6464"/>
                </patternFill>
              </fill>
            </x14:dxf>
          </x14:cfRule>
          <x14:cfRule type="expression" priority="17" id="{4D2B9E4F-FB1A-4104-A45B-192F1B678B11}">
            <xm:f>E4='MOD Matrix'!$H$5</xm:f>
            <x14:dxf>
              <fill>
                <patternFill>
                  <bgColor theme="5" tint="0.59996337778862885"/>
                </patternFill>
              </fill>
            </x14:dxf>
          </x14:cfRule>
          <x14:cfRule type="expression" priority="18" id="{5062DD4D-3722-4B12-9F62-2B063512F5AB}">
            <xm:f>E4='MOD Matrix'!$H$6</xm:f>
            <x14:dxf>
              <fill>
                <patternFill>
                  <bgColor rgb="FFFFFFAA"/>
                </patternFill>
              </fill>
            </x14:dxf>
          </x14:cfRule>
          <x14:cfRule type="expression" priority="19" id="{A5C1D048-4C6F-4AA4-82E5-86E05156F494}">
            <xm:f>E4='MOD Matrix'!$H$7</xm:f>
            <x14:dxf>
              <fill>
                <patternFill>
                  <bgColor theme="9" tint="0.59996337778862885"/>
                </patternFill>
              </fill>
            </x14:dxf>
          </x14:cfRule>
          <x14:cfRule type="expression" priority="20" id="{64B9A35D-7ACF-465A-8D8A-1311B7ACFEBA}">
            <xm:f>E4='MOD Matrix'!$H$8</xm:f>
            <x14:dxf>
              <font>
                <b val="0"/>
                <i val="0"/>
              </font>
              <fill>
                <patternFill>
                  <bgColor theme="9" tint="0.39994506668294322"/>
                </patternFill>
              </fill>
            </x14:dxf>
          </x14:cfRule>
          <xm:sqref>E4</xm:sqref>
        </x14:conditionalFormatting>
        <x14:conditionalFormatting xmlns:xm="http://schemas.microsoft.com/office/excel/2006/main">
          <x14:cfRule type="expression" priority="11" id="{AF8C04D3-BC5B-4744-A2B4-B06BB6C3DA48}">
            <xm:f>E5='MOD Matrix'!$H$4</xm:f>
            <x14:dxf>
              <fill>
                <patternFill>
                  <bgColor rgb="FFFF6464"/>
                </patternFill>
              </fill>
            </x14:dxf>
          </x14:cfRule>
          <x14:cfRule type="expression" priority="12" id="{ED929C19-290D-47D4-ABEC-E351B792A655}">
            <xm:f>E5='MOD Matrix'!$H$5</xm:f>
            <x14:dxf>
              <fill>
                <patternFill>
                  <bgColor theme="5" tint="0.59996337778862885"/>
                </patternFill>
              </fill>
            </x14:dxf>
          </x14:cfRule>
          <x14:cfRule type="expression" priority="13" id="{54540674-7A16-494E-8D71-0429572DAB7A}">
            <xm:f>E5='MOD Matrix'!$H$6</xm:f>
            <x14:dxf>
              <fill>
                <patternFill>
                  <bgColor rgb="FFFFFFAA"/>
                </patternFill>
              </fill>
            </x14:dxf>
          </x14:cfRule>
          <x14:cfRule type="expression" priority="14" id="{D0C02EB0-FC58-4120-AF63-CB26F106FB26}">
            <xm:f>E5='MOD Matrix'!$H$7</xm:f>
            <x14:dxf>
              <fill>
                <patternFill>
                  <bgColor theme="9" tint="0.59996337778862885"/>
                </patternFill>
              </fill>
            </x14:dxf>
          </x14:cfRule>
          <x14:cfRule type="expression" priority="15" id="{A7F86813-4C67-41BE-A240-D57C7BF44911}">
            <xm:f>E5='MOD Matrix'!$H$8</xm:f>
            <x14:dxf>
              <font>
                <b val="0"/>
                <i val="0"/>
              </font>
              <fill>
                <patternFill>
                  <bgColor theme="9" tint="0.39994506668294322"/>
                </patternFill>
              </fill>
            </x14:dxf>
          </x14:cfRule>
          <xm:sqref>E5:E13</xm:sqref>
        </x14:conditionalFormatting>
        <x14:conditionalFormatting xmlns:xm="http://schemas.microsoft.com/office/excel/2006/main">
          <x14:cfRule type="expression" priority="6" id="{86E46606-DBFF-4ADD-B079-3B63219F2A92}">
            <xm:f>F4='MOD Matrix'!$C$9</xm:f>
            <x14:dxf>
              <fill>
                <patternFill>
                  <bgColor rgb="FFFF6464"/>
                </patternFill>
              </fill>
            </x14:dxf>
          </x14:cfRule>
          <x14:cfRule type="expression" priority="7" id="{98020F35-0E35-4EA3-A437-84B040C5B8E4}">
            <xm:f>F4='MOD Matrix'!$D$9</xm:f>
            <x14:dxf>
              <fill>
                <patternFill>
                  <bgColor theme="5" tint="0.59996337778862885"/>
                </patternFill>
              </fill>
            </x14:dxf>
          </x14:cfRule>
          <x14:cfRule type="expression" priority="8" id="{7E32D29F-B62D-412E-B87B-F2571134F13A}">
            <xm:f>F4='MOD Matrix'!$E$9</xm:f>
            <x14:dxf>
              <fill>
                <patternFill>
                  <bgColor rgb="FFFFFFAA"/>
                </patternFill>
              </fill>
            </x14:dxf>
          </x14:cfRule>
          <x14:cfRule type="expression" priority="9" id="{A752E2DB-0D38-4E75-9C68-116D94832D70}">
            <xm:f>F4='MOD Matrix'!$F$9</xm:f>
            <x14:dxf>
              <fill>
                <patternFill>
                  <bgColor theme="9" tint="0.59996337778862885"/>
                </patternFill>
              </fill>
            </x14:dxf>
          </x14:cfRule>
          <x14:cfRule type="expression" priority="10" id="{5E217A5B-74F5-401E-8F7C-834DEF300168}">
            <xm:f>F4='MOD Matrix'!$G$9</xm:f>
            <x14:dxf>
              <fill>
                <patternFill>
                  <bgColor theme="9" tint="0.39994506668294322"/>
                </patternFill>
              </fill>
            </x14:dxf>
          </x14:cfRule>
          <xm:sqref>F4</xm:sqref>
        </x14:conditionalFormatting>
        <x14:conditionalFormatting xmlns:xm="http://schemas.microsoft.com/office/excel/2006/main">
          <x14:cfRule type="expression" priority="1" id="{9B6C0EA0-A3C7-42C6-9ADE-CF1A64EFA958}">
            <xm:f>F5='MOD Matrix'!$C$9</xm:f>
            <x14:dxf>
              <fill>
                <patternFill>
                  <bgColor rgb="FFFF6464"/>
                </patternFill>
              </fill>
            </x14:dxf>
          </x14:cfRule>
          <x14:cfRule type="expression" priority="2" id="{DB0E217D-286E-4A7A-8320-8E7526B671B4}">
            <xm:f>F5='MOD Matrix'!$D$9</xm:f>
            <x14:dxf>
              <fill>
                <patternFill>
                  <bgColor theme="5" tint="0.59996337778862885"/>
                </patternFill>
              </fill>
            </x14:dxf>
          </x14:cfRule>
          <x14:cfRule type="expression" priority="3" id="{296B3DC1-CCC2-4A44-81B6-D933BCCA0B15}">
            <xm:f>F5='MOD Matrix'!$E$9</xm:f>
            <x14:dxf>
              <fill>
                <patternFill>
                  <bgColor rgb="FFFFFFAA"/>
                </patternFill>
              </fill>
            </x14:dxf>
          </x14:cfRule>
          <x14:cfRule type="expression" priority="4" id="{A34459F0-4E8B-4C5F-AD95-9166DAF702D0}">
            <xm:f>F5='MOD Matrix'!$F$9</xm:f>
            <x14:dxf>
              <fill>
                <patternFill>
                  <bgColor theme="9" tint="0.59996337778862885"/>
                </patternFill>
              </fill>
            </x14:dxf>
          </x14:cfRule>
          <x14:cfRule type="expression" priority="5" id="{40B117D7-D703-4404-B464-58C8A2CCE9DE}">
            <xm:f>F5='MOD Matrix'!$G$9</xm:f>
            <x14:dxf>
              <fill>
                <patternFill>
                  <bgColor theme="9" tint="0.39994506668294322"/>
                </patternFill>
              </fill>
            </x14:dxf>
          </x14:cfRule>
          <xm:sqref>F5:F13</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error="الرجاء إختر مدى إحتمالية حدوث الخطر من القائمة!!!" xr:uid="{D74FAC2B-AB59-44D0-BDFA-77E8BEE742AA}">
          <x14:formula1>
            <xm:f>'MOD Matrix'!$H$4:$H$8</xm:f>
          </x14:formula1>
          <xm:sqref>E4:E13</xm:sqref>
        </x14:dataValidation>
        <x14:dataValidation type="list" showInputMessage="1" showErrorMessage="1" error="الرجاء إختر مدى درجة الخطورة من القائمة!!!!!" xr:uid="{BA431F01-3E80-473D-A40E-96BEA299F47A}">
          <x14:formula1>
            <xm:f>'MOD Matrix'!$B$9:$G$9</xm:f>
          </x14:formula1>
          <xm:sqref>F4:F13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53C23-0BB8-460C-8799-A094E06A3C24}">
  <dimension ref="B2:L43"/>
  <sheetViews>
    <sheetView rightToLeft="1" topLeftCell="B4" workbookViewId="0">
      <selection activeCell="D19" sqref="D19"/>
    </sheetView>
  </sheetViews>
  <sheetFormatPr defaultRowHeight="15" x14ac:dyDescent="0.25"/>
  <cols>
    <col min="3" max="3" width="7.28515625" customWidth="1"/>
    <col min="4" max="4" width="63.28515625" customWidth="1"/>
    <col min="5" max="5" width="2.5703125" customWidth="1"/>
    <col min="7" max="7" width="69.7109375" customWidth="1"/>
    <col min="12" max="12" width="4.85546875" customWidth="1"/>
  </cols>
  <sheetData>
    <row r="2" spans="2:12" ht="18.75" x14ac:dyDescent="0.25">
      <c r="B2" s="6" t="s">
        <v>2</v>
      </c>
      <c r="K2" t="s">
        <v>16</v>
      </c>
    </row>
    <row r="3" spans="2:12" ht="18.75" x14ac:dyDescent="0.25">
      <c r="B3" s="5">
        <v>1</v>
      </c>
      <c r="K3" t="s">
        <v>20</v>
      </c>
      <c r="L3" s="1">
        <v>1</v>
      </c>
    </row>
    <row r="4" spans="2:12" ht="18.75" x14ac:dyDescent="0.25">
      <c r="B4" s="5">
        <v>2</v>
      </c>
      <c r="K4" t="s">
        <v>21</v>
      </c>
      <c r="L4" s="1">
        <v>2</v>
      </c>
    </row>
    <row r="5" spans="2:12" ht="18.75" x14ac:dyDescent="0.25">
      <c r="B5" s="5">
        <v>3</v>
      </c>
      <c r="K5" t="s">
        <v>22</v>
      </c>
      <c r="L5" s="1">
        <v>3</v>
      </c>
    </row>
    <row r="6" spans="2:12" ht="18.75" x14ac:dyDescent="0.25">
      <c r="B6" s="5">
        <v>4</v>
      </c>
      <c r="K6" t="s">
        <v>23</v>
      </c>
    </row>
    <row r="7" spans="2:12" ht="18.75" x14ac:dyDescent="0.25">
      <c r="B7" s="5">
        <v>5</v>
      </c>
    </row>
    <row r="9" spans="2:12" ht="23.25" x14ac:dyDescent="0.25">
      <c r="C9" s="239" t="s">
        <v>19</v>
      </c>
      <c r="D9" s="239"/>
    </row>
    <row r="10" spans="2:12" ht="21" x14ac:dyDescent="0.25">
      <c r="C10" s="29" t="s">
        <v>17</v>
      </c>
      <c r="D10" s="29" t="s">
        <v>18</v>
      </c>
    </row>
    <row r="11" spans="2:12" ht="30" x14ac:dyDescent="0.25">
      <c r="C11" s="5">
        <v>1</v>
      </c>
      <c r="D11" s="41" t="s">
        <v>33</v>
      </c>
      <c r="I11" s="31">
        <f>ROWS($C$11:C11)</f>
        <v>1</v>
      </c>
      <c r="J11" s="31" t="str">
        <f>IF(AND('MOD Matrix'!$G$14&gt;=1,'MOD Matrix'!$G$14&lt;=3),الجداول!C11," ")</f>
        <v xml:space="preserve"> </v>
      </c>
      <c r="K11" s="31">
        <f>IFERROR(SMALL($J$11:$J$15,ROWS($J$11:J11))," ")</f>
        <v>2</v>
      </c>
      <c r="L11">
        <f>IF(AND('نموذج تقييم درجــات الخطورة'!G4&gt;=1,'نموذج تقييم درجــات الخطورة'!G4&lt;=3),الجداول!$C$11,IF(AND('نموذج تقييم درجــات الخطورة'!G4&gt;=4,'نموذج تقييم درجــات الخطورة'!G4&lt;=6),الجداول!$C$12,IF(AND('نموذج تقييم درجــات الخطورة'!G4&gt;=7,'نموذج تقييم درجــات الخطورة'!G4&lt;=10),الجداول!$C$13,IF(AND('نموذج تقييم درجــات الخطورة'!G4&gt;=11,'نموذج تقييم درجــات الخطورة'!G4&lt;=16),الجداول!$C$14,IF(AND('نموذج تقييم درجــات الخطورة'!G4&gt;=17,'نموذج تقييم درجــات الخطورة'!G4&lt;=25),الجداول!$C$15," ")))))</f>
        <v>4</v>
      </c>
    </row>
    <row r="12" spans="2:12" ht="30" x14ac:dyDescent="0.25">
      <c r="C12" s="5">
        <v>2</v>
      </c>
      <c r="D12" s="41" t="s">
        <v>34</v>
      </c>
      <c r="I12" s="31">
        <f>ROWS($C$11:C12)</f>
        <v>2</v>
      </c>
      <c r="J12" s="31">
        <f>IF(AND('MOD Matrix'!$G$14&gt;=4,'MOD Matrix'!$G$14&lt;=6),الجداول!C12," ")</f>
        <v>2</v>
      </c>
      <c r="K12" s="31" t="str">
        <f>IFERROR(SMALL($J$11:$J$15,ROWS($J$11:J12))," ")</f>
        <v xml:space="preserve"> </v>
      </c>
      <c r="L12">
        <f>IF(AND('نموذج تقييم درجــات الخطورة'!G5&gt;=1,'نموذج تقييم درجــات الخطورة'!G5&lt;=3),الجداول!$C$11,IF(AND('نموذج تقييم درجــات الخطورة'!G5&gt;=4,'نموذج تقييم درجــات الخطورة'!G5&lt;=6),الجداول!$C$12,IF(AND('نموذج تقييم درجــات الخطورة'!G5&gt;=7,'نموذج تقييم درجــات الخطورة'!G5&lt;=10),الجداول!$C$13,IF(AND('نموذج تقييم درجــات الخطورة'!G5&gt;=11,'نموذج تقييم درجــات الخطورة'!G5&lt;=16),الجداول!$C$14,IF(AND('نموذج تقييم درجــات الخطورة'!G5&gt;=17,'نموذج تقييم درجــات الخطورة'!G5&lt;=25),الجداول!$C$15," ")))))</f>
        <v>2</v>
      </c>
    </row>
    <row r="13" spans="2:12" ht="30" x14ac:dyDescent="0.25">
      <c r="C13" s="5">
        <v>3</v>
      </c>
      <c r="D13" s="41" t="s">
        <v>35</v>
      </c>
      <c r="I13" s="31">
        <f>ROWS($C$11:C13)</f>
        <v>3</v>
      </c>
      <c r="J13" s="31" t="str">
        <f>IF(AND('MOD Matrix'!$G$14&gt;=7,'MOD Matrix'!$G$14&lt;=10),الجداول!C13," ")</f>
        <v xml:space="preserve"> </v>
      </c>
      <c r="K13" s="31" t="str">
        <f>IFERROR(SMALL($J$11:$J$15,ROWS($J$11:J13))," ")</f>
        <v xml:space="preserve"> </v>
      </c>
      <c r="L13">
        <f>IF(AND('نموذج تقييم درجــات الخطورة'!G6&gt;=1,'نموذج تقييم درجــات الخطورة'!G6&lt;=3),الجداول!$C$11,IF(AND('نموذج تقييم درجــات الخطورة'!G6&gt;=4,'نموذج تقييم درجــات الخطورة'!G6&lt;=6),الجداول!$C$12,IF(AND('نموذج تقييم درجــات الخطورة'!G6&gt;=7,'نموذج تقييم درجــات الخطورة'!G6&lt;=10),الجداول!$C$13,IF(AND('نموذج تقييم درجــات الخطورة'!G6&gt;=11,'نموذج تقييم درجــات الخطورة'!G6&lt;=16),الجداول!$C$14,IF(AND('نموذج تقييم درجــات الخطورة'!G6&gt;=17,'نموذج تقييم درجــات الخطورة'!G6&lt;=25),الجداول!$C$15," ")))))</f>
        <v>3</v>
      </c>
    </row>
    <row r="14" spans="2:12" ht="30" x14ac:dyDescent="0.25">
      <c r="C14" s="5">
        <v>4</v>
      </c>
      <c r="D14" s="41" t="s">
        <v>36</v>
      </c>
      <c r="I14" s="31">
        <f>ROWS($C$11:C14)</f>
        <v>4</v>
      </c>
      <c r="J14" s="31" t="str">
        <f>IF(AND('MOD Matrix'!$G$14&gt;=11,'MOD Matrix'!$G$14&lt;=16),الجداول!C14," ")</f>
        <v xml:space="preserve"> </v>
      </c>
      <c r="K14" s="31" t="str">
        <f>IFERROR(SMALL($J$11:$J$15,ROWS($J$11:J14))," ")</f>
        <v xml:space="preserve"> </v>
      </c>
      <c r="L14">
        <f>IF(AND('نموذج تقييم درجــات الخطورة'!G7&gt;=1,'نموذج تقييم درجــات الخطورة'!G7&lt;=3),الجداول!$C$11,IF(AND('نموذج تقييم درجــات الخطورة'!G7&gt;=4,'نموذج تقييم درجــات الخطورة'!G7&lt;=6),الجداول!$C$12,IF(AND('نموذج تقييم درجــات الخطورة'!G7&gt;=7,'نموذج تقييم درجــات الخطورة'!G7&lt;=10),الجداول!$C$13,IF(AND('نموذج تقييم درجــات الخطورة'!G7&gt;=11,'نموذج تقييم درجــات الخطورة'!G7&lt;=16),الجداول!$C$14,IF(AND('نموذج تقييم درجــات الخطورة'!G7&gt;=17,'نموذج تقييم درجــات الخطورة'!G7&lt;=25),الجداول!$C$15," ")))))</f>
        <v>3</v>
      </c>
    </row>
    <row r="15" spans="2:12" ht="30" x14ac:dyDescent="0.25">
      <c r="C15" s="5">
        <v>5</v>
      </c>
      <c r="D15" s="41" t="s">
        <v>37</v>
      </c>
      <c r="I15" s="31">
        <f>ROWS($C$11:C15)</f>
        <v>5</v>
      </c>
      <c r="J15" s="31" t="str">
        <f>IF(AND('MOD Matrix'!$G$14&gt;=17,'MOD Matrix'!$G$14&lt;=25),الجداول!C15," ")</f>
        <v xml:space="preserve"> </v>
      </c>
      <c r="K15" s="31" t="str">
        <f>IFERROR(SMALL($J$11:$J$15,ROWS($J$11:J15))," ")</f>
        <v xml:space="preserve"> </v>
      </c>
      <c r="L15">
        <f>IF(AND('نموذج تقييم درجــات الخطورة'!G8&gt;=1,'نموذج تقييم درجــات الخطورة'!G8&lt;=3),الجداول!$C$11,IF(AND('نموذج تقييم درجــات الخطورة'!G8&gt;=4,'نموذج تقييم درجــات الخطورة'!G8&lt;=6),الجداول!$C$12,IF(AND('نموذج تقييم درجــات الخطورة'!G8&gt;=7,'نموذج تقييم درجــات الخطورة'!G8&lt;=10),الجداول!$C$13,IF(AND('نموذج تقييم درجــات الخطورة'!G8&gt;=11,'نموذج تقييم درجــات الخطورة'!G8&lt;=16),الجداول!$C$14,IF(AND('نموذج تقييم درجــات الخطورة'!G8&gt;=17,'نموذج تقييم درجــات الخطورة'!G8&lt;=25),الجداول!$C$15," ")))))</f>
        <v>4</v>
      </c>
    </row>
    <row r="16" spans="2:12" ht="23.25" x14ac:dyDescent="0.25">
      <c r="F16" s="240" t="s">
        <v>19</v>
      </c>
      <c r="G16" s="240"/>
      <c r="L16">
        <f>IF(AND('نموذج تقييم درجــات الخطورة'!G9&gt;=1,'نموذج تقييم درجــات الخطورة'!G9&lt;=3),الجداول!$C$11,IF(AND('نموذج تقييم درجــات الخطورة'!G9&gt;=4,'نموذج تقييم درجــات الخطورة'!G9&lt;=6),الجداول!$C$12,IF(AND('نموذج تقييم درجــات الخطورة'!G9&gt;=7,'نموذج تقييم درجــات الخطورة'!G9&lt;=10),الجداول!$C$13,IF(AND('نموذج تقييم درجــات الخطورة'!G9&gt;=11,'نموذج تقييم درجــات الخطورة'!G9&lt;=16),الجداول!$C$14,IF(AND('نموذج تقييم درجــات الخطورة'!G9&gt;=17,'نموذج تقييم درجــات الخطورة'!G9&lt;=25),الجداول!$C$15," ")))))</f>
        <v>2</v>
      </c>
    </row>
    <row r="17" spans="6:12" ht="21" x14ac:dyDescent="0.25">
      <c r="F17" s="30" t="s">
        <v>17</v>
      </c>
      <c r="G17" s="30" t="s">
        <v>18</v>
      </c>
      <c r="L17">
        <f>IF(AND('نموذج تقييم درجــات الخطورة'!G10&gt;=1,'نموذج تقييم درجــات الخطورة'!G10&lt;=3),الجداول!$C$11,IF(AND('نموذج تقييم درجــات الخطورة'!G10&gt;=4,'نموذج تقييم درجــات الخطورة'!G10&lt;=6),الجداول!$C$12,IF(AND('نموذج تقييم درجــات الخطورة'!G10&gt;=7,'نموذج تقييم درجــات الخطورة'!G10&lt;=10),الجداول!$C$13,IF(AND('نموذج تقييم درجــات الخطورة'!G10&gt;=11,'نموذج تقييم درجــات الخطورة'!G10&lt;=16),الجداول!$C$14,IF(AND('نموذج تقييم درجــات الخطورة'!G10&gt;=17,'نموذج تقييم درجــات الخطورة'!G10&lt;=25),الجداول!$C$15," ")))))</f>
        <v>2</v>
      </c>
    </row>
    <row r="18" spans="6:12" ht="18.75" x14ac:dyDescent="0.25">
      <c r="F18" s="5">
        <v>1</v>
      </c>
      <c r="G18" s="28"/>
      <c r="L18" t="str">
        <f>IF(AND('نموذج تقييم درجــات الخطورة'!G11&gt;=1,'نموذج تقييم درجــات الخطورة'!G11&lt;=3),الجداول!$C$11,IF(AND('نموذج تقييم درجــات الخطورة'!G11&gt;=4,'نموذج تقييم درجــات الخطورة'!G11&lt;=6),الجداول!$C$12,IF(AND('نموذج تقييم درجــات الخطورة'!G11&gt;=7,'نموذج تقييم درجــات الخطورة'!G11&lt;=10),الجداول!$C$13,IF(AND('نموذج تقييم درجــات الخطورة'!G11&gt;=11,'نموذج تقييم درجــات الخطورة'!G11&lt;=16),الجداول!$C$14,IF(AND('نموذج تقييم درجــات الخطورة'!G11&gt;=17,'نموذج تقييم درجــات الخطورة'!G11&lt;=25),الجداول!$C$15," ")))))</f>
        <v xml:space="preserve"> </v>
      </c>
    </row>
    <row r="19" spans="6:12" ht="18.75" x14ac:dyDescent="0.25">
      <c r="F19" s="5">
        <v>2</v>
      </c>
      <c r="G19" s="28"/>
      <c r="L19" t="str">
        <f>IF(AND('نموذج تقييم درجــات الخطورة'!G12&gt;=1,'نموذج تقييم درجــات الخطورة'!G12&lt;=3),الجداول!$C$11,IF(AND('نموذج تقييم درجــات الخطورة'!G12&gt;=4,'نموذج تقييم درجــات الخطورة'!G12&lt;=6),الجداول!$C$12,IF(AND('نموذج تقييم درجــات الخطورة'!G12&gt;=7,'نموذج تقييم درجــات الخطورة'!G12&lt;=10),الجداول!$C$13,IF(AND('نموذج تقييم درجــات الخطورة'!G12&gt;=11,'نموذج تقييم درجــات الخطورة'!G12&lt;=16),الجداول!$C$14,IF(AND('نموذج تقييم درجــات الخطورة'!G12&gt;=17,'نموذج تقييم درجــات الخطورة'!G12&lt;=25),الجداول!$C$15," ")))))</f>
        <v xml:space="preserve"> </v>
      </c>
    </row>
    <row r="20" spans="6:12" ht="18.75" x14ac:dyDescent="0.25">
      <c r="F20" s="5">
        <v>3</v>
      </c>
      <c r="G20" s="28"/>
      <c r="L20" t="str">
        <f>IF(AND('نموذج تقييم درجــات الخطورة'!G13&gt;=1,'نموذج تقييم درجــات الخطورة'!G13&lt;=3),الجداول!$C$11,IF(AND('نموذج تقييم درجــات الخطورة'!G13&gt;=4,'نموذج تقييم درجــات الخطورة'!G13&lt;=6),الجداول!$C$12,IF(AND('نموذج تقييم درجــات الخطورة'!G13&gt;=7,'نموذج تقييم درجــات الخطورة'!G13&lt;=10),الجداول!$C$13,IF(AND('نموذج تقييم درجــات الخطورة'!G13&gt;=11,'نموذج تقييم درجــات الخطورة'!G13&lt;=16),الجداول!$C$14,IF(AND('نموذج تقييم درجــات الخطورة'!G13&gt;=17,'نموذج تقييم درجــات الخطورة'!G13&lt;=25),الجداول!$C$15," ")))))</f>
        <v xml:space="preserve"> </v>
      </c>
    </row>
    <row r="21" spans="6:12" ht="18.75" x14ac:dyDescent="0.25">
      <c r="F21" s="5">
        <v>1</v>
      </c>
      <c r="G21" s="28"/>
    </row>
    <row r="22" spans="6:12" ht="18.75" x14ac:dyDescent="0.25">
      <c r="F22" s="5">
        <v>2</v>
      </c>
      <c r="G22" s="28"/>
    </row>
    <row r="23" spans="6:12" ht="18.75" x14ac:dyDescent="0.25">
      <c r="F23" s="5">
        <v>3</v>
      </c>
      <c r="G23" s="28"/>
    </row>
    <row r="24" spans="6:12" ht="18.75" x14ac:dyDescent="0.25">
      <c r="F24" s="5">
        <v>4</v>
      </c>
      <c r="G24" s="28"/>
    </row>
    <row r="25" spans="6:12" ht="18.75" x14ac:dyDescent="0.25">
      <c r="F25" s="5">
        <v>5</v>
      </c>
      <c r="G25" s="28"/>
    </row>
    <row r="26" spans="6:12" ht="18.75" x14ac:dyDescent="0.25">
      <c r="F26" s="5">
        <v>6</v>
      </c>
      <c r="G26" s="28"/>
    </row>
    <row r="27" spans="6:12" ht="18.75" x14ac:dyDescent="0.25">
      <c r="F27" s="5">
        <v>4</v>
      </c>
      <c r="G27" s="28"/>
    </row>
    <row r="28" spans="6:12" ht="18.75" x14ac:dyDescent="0.25">
      <c r="F28" s="5">
        <v>5</v>
      </c>
      <c r="G28" s="28"/>
    </row>
    <row r="29" spans="6:12" ht="18.75" x14ac:dyDescent="0.25">
      <c r="F29" s="5">
        <v>6</v>
      </c>
      <c r="G29" s="28"/>
    </row>
    <row r="30" spans="6:12" ht="18.75" x14ac:dyDescent="0.25">
      <c r="F30" s="5">
        <v>4</v>
      </c>
      <c r="G30" s="28"/>
    </row>
    <row r="31" spans="6:12" ht="18.75" x14ac:dyDescent="0.25">
      <c r="F31" s="5">
        <v>8</v>
      </c>
      <c r="G31" s="28"/>
    </row>
    <row r="32" spans="6:12" ht="18.75" x14ac:dyDescent="0.25">
      <c r="F32" s="5">
        <v>9</v>
      </c>
      <c r="G32" s="28"/>
    </row>
    <row r="33" spans="6:7" ht="18.75" x14ac:dyDescent="0.25">
      <c r="F33" s="5">
        <v>10</v>
      </c>
      <c r="G33" s="28"/>
    </row>
    <row r="34" spans="6:7" ht="18.75" x14ac:dyDescent="0.25">
      <c r="F34" s="5">
        <v>8</v>
      </c>
      <c r="G34" s="28"/>
    </row>
    <row r="35" spans="6:7" ht="18.75" x14ac:dyDescent="0.25">
      <c r="F35" s="5">
        <v>10</v>
      </c>
      <c r="G35" s="28"/>
    </row>
    <row r="36" spans="6:7" ht="18.75" x14ac:dyDescent="0.25">
      <c r="F36" s="5">
        <v>12</v>
      </c>
      <c r="G36" s="28"/>
    </row>
    <row r="37" spans="6:7" ht="18.75" x14ac:dyDescent="0.25">
      <c r="F37" s="5">
        <v>15</v>
      </c>
      <c r="G37" s="28"/>
    </row>
    <row r="38" spans="6:7" ht="18.75" x14ac:dyDescent="0.25">
      <c r="F38" s="5">
        <v>16</v>
      </c>
      <c r="G38" s="28"/>
    </row>
    <row r="39" spans="6:7" ht="18.75" x14ac:dyDescent="0.25">
      <c r="F39" s="5">
        <v>12</v>
      </c>
      <c r="G39" s="28"/>
    </row>
    <row r="40" spans="6:7" ht="18.75" x14ac:dyDescent="0.25">
      <c r="F40" s="5">
        <v>15</v>
      </c>
      <c r="G40" s="28"/>
    </row>
    <row r="41" spans="6:7" ht="18.75" x14ac:dyDescent="0.25">
      <c r="F41" s="5">
        <v>20</v>
      </c>
      <c r="G41" s="28"/>
    </row>
    <row r="42" spans="6:7" ht="18.75" x14ac:dyDescent="0.25">
      <c r="F42" s="5">
        <v>20</v>
      </c>
      <c r="G42" s="28"/>
    </row>
    <row r="43" spans="6:7" ht="18.75" x14ac:dyDescent="0.25">
      <c r="F43" s="5">
        <v>25</v>
      </c>
      <c r="G43" s="28"/>
    </row>
  </sheetData>
  <mergeCells count="2">
    <mergeCell ref="C9:D9"/>
    <mergeCell ref="F16:G1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622EA34EDF544F8A179DB6F84EB080" ma:contentTypeVersion="21" ma:contentTypeDescription="Create a new document." ma:contentTypeScope="" ma:versionID="451a5e087189fd8b4ee1b58807a836fe">
  <xsd:schema xmlns:xsd="http://www.w3.org/2001/XMLSchema" xmlns:xs="http://www.w3.org/2001/XMLSchema" xmlns:p="http://schemas.microsoft.com/office/2006/metadata/properties" xmlns:ns2="ed94768c-563f-46a5-8dbc-5b99b5695749" xmlns:ns3="174c99b3-2bc5-4e92-a702-db2fe4beaa23" xmlns:ns4="44ee90ad-e09c-40df-86b3-4a26e1c86c52" targetNamespace="http://schemas.microsoft.com/office/2006/metadata/properties" ma:root="true" ma:fieldsID="97dae3388a138dbf6677c5ce79997533" ns2:_="" ns3:_="" ns4:_="">
    <xsd:import namespace="ed94768c-563f-46a5-8dbc-5b99b5695749"/>
    <xsd:import namespace="174c99b3-2bc5-4e92-a702-db2fe4beaa23"/>
    <xsd:import namespace="44ee90ad-e09c-40df-86b3-4a26e1c86c52"/>
    <xsd:element name="properties">
      <xsd:complexType>
        <xsd:sequence>
          <xsd:element name="documentManagement">
            <xsd:complexType>
              <xsd:all>
                <xsd:element ref="ns2:_dlc_DocId" minOccurs="0"/>
                <xsd:element ref="ns2:_dlc_DocIdUrl" minOccurs="0"/>
                <xsd:element ref="ns2:_dlc_DocIdPersistId" minOccurs="0"/>
                <xsd:element ref="ns3:Order0" minOccurs="0"/>
                <xsd:element ref="ns3:IsDeleted" minOccurs="0"/>
                <xsd:element ref="ns3:DeletedBy" minOccurs="0"/>
                <xsd:element ref="ns3:DeletedOn" minOccurs="0"/>
                <xsd:element ref="ns3:UploadedBy" minOccurs="0"/>
                <xsd:element ref="ns3:UploadedOn" minOccurs="0"/>
                <xsd:element ref="ns3:FileType" minOccurs="0"/>
                <xsd:element ref="ns3:LastEditedBy" minOccurs="0"/>
                <xsd:element ref="ns3:LastEditedOn" minOccurs="0"/>
                <xsd:element ref="ns3:ArabicText" minOccurs="0"/>
                <xsd:element ref="ns3:EnglishText" minOccurs="0"/>
                <xsd:element ref="ns4:ParentLevel" minOccurs="0"/>
                <xsd:element ref="ns4:ParentLevel_x003a_Title" minOccurs="0"/>
                <xsd:element ref="ns4:ParentLevel_x003a_ID" minOccurs="0"/>
                <xsd:element ref="ns4:DeleteReason" minOccurs="0"/>
                <xsd:element ref="ns4:FilePathForAnonymo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94768c-563f-46a5-8dbc-5b99b569574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74c99b3-2bc5-4e92-a702-db2fe4beaa23" elementFormDefault="qualified">
    <xsd:import namespace="http://schemas.microsoft.com/office/2006/documentManagement/types"/>
    <xsd:import namespace="http://schemas.microsoft.com/office/infopath/2007/PartnerControls"/>
    <xsd:element name="Order0" ma:index="11" nillable="true" ma:displayName="Order" ma:internalName="Order0" ma:percentage="FALSE">
      <xsd:simpleType>
        <xsd:restriction base="dms:Number"/>
      </xsd:simpleType>
    </xsd:element>
    <xsd:element name="IsDeleted" ma:index="12" nillable="true" ma:displayName="IsDeleted" ma:default="0" ma:internalName="IsDeleted">
      <xsd:simpleType>
        <xsd:restriction base="dms:Boolean"/>
      </xsd:simpleType>
    </xsd:element>
    <xsd:element name="DeletedBy" ma:index="13" nillable="true" ma:displayName="DeletedBy" ma:internalName="DeletedBy">
      <xsd:simpleType>
        <xsd:restriction base="dms:Text">
          <xsd:maxLength value="255"/>
        </xsd:restriction>
      </xsd:simpleType>
    </xsd:element>
    <xsd:element name="DeletedOn" ma:index="14" nillable="true" ma:displayName="DeletedOn" ma:format="DateTime" ma:internalName="DeletedOn">
      <xsd:simpleType>
        <xsd:restriction base="dms:DateTime"/>
      </xsd:simpleType>
    </xsd:element>
    <xsd:element name="UploadedBy" ma:index="15" nillable="true" ma:displayName="UploadedBy" ma:internalName="UploadedBy">
      <xsd:simpleType>
        <xsd:restriction base="dms:Text">
          <xsd:maxLength value="255"/>
        </xsd:restriction>
      </xsd:simpleType>
    </xsd:element>
    <xsd:element name="UploadedOn" ma:index="16" nillable="true" ma:displayName="UploadedOn" ma:format="DateTime" ma:internalName="UploadedOn">
      <xsd:simpleType>
        <xsd:restriction base="dms:DateTime"/>
      </xsd:simpleType>
    </xsd:element>
    <xsd:element name="FileType" ma:index="17" nillable="true" ma:displayName="FileType" ma:default="PDF" ma:format="Dropdown" ma:internalName="FileType">
      <xsd:simpleType>
        <xsd:restriction base="dms:Choice">
          <xsd:enumeration value="PDF"/>
          <xsd:enumeration value="Word"/>
          <xsd:enumeration value="Excel"/>
          <xsd:enumeration value="PPT"/>
        </xsd:restriction>
      </xsd:simpleType>
    </xsd:element>
    <xsd:element name="LastEditedBy" ma:index="18" nillable="true" ma:displayName="LastEditedBy" ma:internalName="LastEditedBy">
      <xsd:simpleType>
        <xsd:restriction base="dms:Text">
          <xsd:maxLength value="255"/>
        </xsd:restriction>
      </xsd:simpleType>
    </xsd:element>
    <xsd:element name="LastEditedOn" ma:index="19" nillable="true" ma:displayName="LastEditedOn" ma:format="DateTime" ma:internalName="LastEditedOn">
      <xsd:simpleType>
        <xsd:restriction base="dms:DateTime"/>
      </xsd:simpleType>
    </xsd:element>
    <xsd:element name="ArabicText" ma:index="20" nillable="true" ma:displayName="ArabicText" ma:internalName="ArabicText">
      <xsd:simpleType>
        <xsd:restriction base="dms:Text">
          <xsd:maxLength value="255"/>
        </xsd:restriction>
      </xsd:simpleType>
    </xsd:element>
    <xsd:element name="EnglishText" ma:index="21" nillable="true" ma:displayName="EnglishText" ma:internalName="EnglishTex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4ee90ad-e09c-40df-86b3-4a26e1c86c52" elementFormDefault="qualified">
    <xsd:import namespace="http://schemas.microsoft.com/office/2006/documentManagement/types"/>
    <xsd:import namespace="http://schemas.microsoft.com/office/infopath/2007/PartnerControls"/>
    <xsd:element name="ParentLevel" ma:index="22" nillable="true" ma:displayName="ParentLevel" ma:list="{fac798dd-970b-40bf-a854-b01541f6b2f6}" ma:internalName="ParentLevel" ma:showField="ID">
      <xsd:simpleType>
        <xsd:restriction base="dms:Lookup"/>
      </xsd:simpleType>
    </xsd:element>
    <xsd:element name="ParentLevel_x003a_Title" ma:index="23" nillable="true" ma:displayName="ParentLevel:Title" ma:list="{fac798dd-970b-40bf-a854-b01541f6b2f6}" ma:internalName="ParentLevel_x003a_Title" ma:readOnly="true" ma:showField="Title" ma:web="ed94768c-563f-46a5-8dbc-5b99b5695749">
      <xsd:simpleType>
        <xsd:restriction base="dms:Lookup"/>
      </xsd:simpleType>
    </xsd:element>
    <xsd:element name="ParentLevel_x003a_ID" ma:index="24" nillable="true" ma:displayName="ParentLevel:ID" ma:list="{fac798dd-970b-40bf-a854-b01541f6b2f6}" ma:internalName="ParentLevel_x003a_ID" ma:readOnly="true" ma:showField="ID" ma:web="ed94768c-563f-46a5-8dbc-5b99b5695749">
      <xsd:simpleType>
        <xsd:restriction base="dms:Lookup"/>
      </xsd:simpleType>
    </xsd:element>
    <xsd:element name="DeleteReason" ma:index="25" nillable="true" ma:displayName="DeleteReason" ma:format="Dropdown" ma:internalName="DeleteReason">
      <xsd:simpleType>
        <xsd:restriction base="dms:Choice">
          <xsd:enumeration value="DeleteProcess"/>
          <xsd:enumeration value="UpdateProcess"/>
        </xsd:restriction>
      </xsd:simpleType>
    </xsd:element>
    <xsd:element name="FilePathForAnonymous" ma:index="26" nillable="true" ma:displayName="FilePathForAnonymous" ma:internalName="FilePathForAnonymou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EnglishText xmlns="174c99b3-2bc5-4e92-a702-db2fe4beaa23">Risk Matrix</EnglishText>
    <ArabicText xmlns="174c99b3-2bc5-4e92-a702-db2fe4beaa23">مصفوفة المخاطر</ArabicText>
    <ParentLevel xmlns="44ee90ad-e09c-40df-86b3-4a26e1c86c52">9</ParentLevel>
    <LastEditedBy xmlns="174c99b3-2bc5-4e92-a702-db2fe4beaa23">14399</LastEditedBy>
    <Order0 xmlns="174c99b3-2bc5-4e92-a702-db2fe4beaa23">183</Order0>
    <DeletedOn xmlns="174c99b3-2bc5-4e92-a702-db2fe4beaa23" xsi:nil="true"/>
    <UploadedBy xmlns="174c99b3-2bc5-4e92-a702-db2fe4beaa23">14399</UploadedBy>
    <UploadedOn xmlns="174c99b3-2bc5-4e92-a702-db2fe4beaa23">2025-01-15T07:28:57+00:00</UploadedOn>
    <FileType xmlns="174c99b3-2bc5-4e92-a702-db2fe4beaa23">Excel</FileType>
    <DeleteReason xmlns="44ee90ad-e09c-40df-86b3-4a26e1c86c52" xsi:nil="true"/>
    <IsDeleted xmlns="174c99b3-2bc5-4e92-a702-db2fe4beaa23">false</IsDeleted>
    <DeletedBy xmlns="174c99b3-2bc5-4e92-a702-db2fe4beaa23" xsi:nil="true"/>
    <LastEditedOn xmlns="174c99b3-2bc5-4e92-a702-db2fe4beaa23">2025-01-15T07:28:57+00:00</LastEditedOn>
    <_dlc_DocId xmlns="ed94768c-563f-46a5-8dbc-5b99b5695749">33HA43QPHE4U-1451286053-222</_dlc_DocId>
    <_dlc_DocIdUrl xmlns="ed94768c-563f-46a5-8dbc-5b99b5695749">
      <Url>https://portal.jac.mil.ae/_layouts/15/DocIdRedir.aspx?ID=33HA43QPHE4U-1451286053-222</Url>
      <Description>33HA43QPHE4U-1451286053-222</Description>
    </_dlc_DocIdUrl>
    <FilePathForAnonymous xmlns="44ee90ad-e09c-40df-86b3-4a26e1c86c52">/ExtranetSafetyFileLibrary/مصفوفــــة المخاطــــــــــر من الادارة التنفيذية للسلامة.xlsx</FilePathForAnonymous>
  </documentManagement>
</p:properties>
</file>

<file path=customXml/itemProps1.xml><?xml version="1.0" encoding="utf-8"?>
<ds:datastoreItem xmlns:ds="http://schemas.openxmlformats.org/officeDocument/2006/customXml" ds:itemID="{25800CB2-E5C0-4469-BD19-76C3B6DB3FC5}"/>
</file>

<file path=customXml/itemProps2.xml><?xml version="1.0" encoding="utf-8"?>
<ds:datastoreItem xmlns:ds="http://schemas.openxmlformats.org/officeDocument/2006/customXml" ds:itemID="{FAF70F83-783C-4AAD-906D-0D61E365F83F}"/>
</file>

<file path=customXml/itemProps3.xml><?xml version="1.0" encoding="utf-8"?>
<ds:datastoreItem xmlns:ds="http://schemas.openxmlformats.org/officeDocument/2006/customXml" ds:itemID="{272CF932-299E-4CE7-9C2F-1E51E343BFC2}"/>
</file>

<file path=customXml/itemProps4.xml><?xml version="1.0" encoding="utf-8"?>
<ds:datastoreItem xmlns:ds="http://schemas.openxmlformats.org/officeDocument/2006/customXml" ds:itemID="{E62A4475-4128-4F3C-8D4C-A86D928498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MOD Matrix</vt:lpstr>
      <vt:lpstr>JAC Matrix</vt:lpstr>
      <vt:lpstr>SEVERE WEATHER</vt:lpstr>
      <vt:lpstr>نموذج تقييم درجــات الخطورة</vt:lpstr>
      <vt:lpstr>الجداول</vt:lpstr>
      <vt:lpstr>'SEVERE WEATHER'!_Hlk117772119</vt:lpstr>
      <vt:lpstr>fivecategree</vt:lpstr>
      <vt:lpstr>'MOD Matrix'!Print_Area</vt:lpstr>
      <vt:lpstr>'SEVERE WEATHER'!Print_Area</vt:lpstr>
      <vt:lpstr>'نموذج تقييم درجــات الخطورة'!Print_Area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مصفوفــــة المخاطــــــــــر من الادارة التنفيذية للسلامة</dc:title>
  <dc:creator/>
  <cp:lastModifiedBy/>
  <dcterms:created xsi:type="dcterms:W3CDTF">2015-06-05T18:17:20Z</dcterms:created>
  <dcterms:modified xsi:type="dcterms:W3CDTF">2025-03-21T05:38:41Z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0x01010018622EA34EDF544F8A179DB6F84EB080</vt:lpwstr>
  </property>
  <property fmtid="{D5CDD505-2E9C-101B-9397-08002B2CF9AE}" pid="3" name="_dlc_DocIdItemGuid">
    <vt:lpwstr>df84e75e-515b-47b8-abe1-42479e03c47f</vt:lpwstr>
  </property>
</Properties>
</file>